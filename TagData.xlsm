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Programming\dhjData\"/>
    </mc:Choice>
  </mc:AlternateContent>
  <xr:revisionPtr revIDLastSave="0" documentId="13_ncr:1_{65CEFFB8-4E5B-4FFD-9A4A-11604286F20C}" xr6:coauthVersionLast="47" xr6:coauthVersionMax="47" xr10:uidLastSave="{00000000-0000-0000-0000-000000000000}"/>
  <bookViews>
    <workbookView xWindow="-108" yWindow="-108" windowWidth="23256" windowHeight="12456" xr2:uid="{4169342A-3E81-48B7-BB8C-C896F9C6B27C}"/>
  </bookViews>
  <sheets>
    <sheet name="HourlyData" sheetId="1" r:id="rId1"/>
    <sheet name="TagData" sheetId="3" r:id="rId2"/>
    <sheet name="Sheet2" sheetId="2" r:id="rId3"/>
  </sheets>
  <definedNames>
    <definedName name="ExternalData_1" localSheetId="2" hidden="1">Sheet2!$A$1:$B$22</definedName>
    <definedName name="ExternalData_1" localSheetId="1" hidden="1">TagData!$A$1:$C$616</definedName>
    <definedName name="MyList">OFFSET(TagData!$F$2,0,0,COUNTIF(TagData[SearchList],"?*"),1)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/>
  <c r="D2" i="3"/>
  <c r="D3" i="3"/>
  <c r="D4" i="3"/>
  <c r="D5" i="3"/>
  <c r="D6" i="3"/>
  <c r="D7" i="3"/>
  <c r="D8" i="3"/>
  <c r="D9" i="3"/>
  <c r="D10" i="3"/>
  <c r="D11" i="3"/>
  <c r="F1" i="1" s="1"/>
  <c r="D12" i="3"/>
  <c r="I1" i="1" s="1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227" i="3"/>
  <c r="D228" i="3"/>
  <c r="D229" i="3"/>
  <c r="D230" i="3"/>
  <c r="D231" i="3"/>
  <c r="D232" i="3"/>
  <c r="D233" i="3"/>
  <c r="D234" i="3"/>
  <c r="D235" i="3"/>
  <c r="D236" i="3"/>
  <c r="D237" i="3"/>
  <c r="D238" i="3"/>
  <c r="D239" i="3"/>
  <c r="D240" i="3"/>
  <c r="D241" i="3"/>
  <c r="D242" i="3"/>
  <c r="D243" i="3"/>
  <c r="D244" i="3"/>
  <c r="D245" i="3"/>
  <c r="D246" i="3"/>
  <c r="D247" i="3"/>
  <c r="D248" i="3"/>
  <c r="D249" i="3"/>
  <c r="D250" i="3"/>
  <c r="D251" i="3"/>
  <c r="D252" i="3"/>
  <c r="D253" i="3"/>
  <c r="D254" i="3"/>
  <c r="D255" i="3"/>
  <c r="D256" i="3"/>
  <c r="D257" i="3"/>
  <c r="D258" i="3"/>
  <c r="D259" i="3"/>
  <c r="D260" i="3"/>
  <c r="D261" i="3"/>
  <c r="D262" i="3"/>
  <c r="D263" i="3"/>
  <c r="D264" i="3"/>
  <c r="D265" i="3"/>
  <c r="D266" i="3"/>
  <c r="D267" i="3"/>
  <c r="D268" i="3"/>
  <c r="D269" i="3"/>
  <c r="D270" i="3"/>
  <c r="D271" i="3"/>
  <c r="D272" i="3"/>
  <c r="D273" i="3"/>
  <c r="D274" i="3"/>
  <c r="D275" i="3"/>
  <c r="D276" i="3"/>
  <c r="D277" i="3"/>
  <c r="D278" i="3"/>
  <c r="D279" i="3"/>
  <c r="D280" i="3"/>
  <c r="D281" i="3"/>
  <c r="D282" i="3"/>
  <c r="D283" i="3"/>
  <c r="D284" i="3"/>
  <c r="D285" i="3"/>
  <c r="D286" i="3"/>
  <c r="D287" i="3"/>
  <c r="D288" i="3"/>
  <c r="D289" i="3"/>
  <c r="D290" i="3"/>
  <c r="D291" i="3"/>
  <c r="D292" i="3"/>
  <c r="D293" i="3"/>
  <c r="D294" i="3"/>
  <c r="D295" i="3"/>
  <c r="D296" i="3"/>
  <c r="D297" i="3"/>
  <c r="D298" i="3"/>
  <c r="D299" i="3"/>
  <c r="D300" i="3"/>
  <c r="D301" i="3"/>
  <c r="D302" i="3"/>
  <c r="D303" i="3"/>
  <c r="D304" i="3"/>
  <c r="D305" i="3"/>
  <c r="D306" i="3"/>
  <c r="D307" i="3"/>
  <c r="D308" i="3"/>
  <c r="D309" i="3"/>
  <c r="D310" i="3"/>
  <c r="D311" i="3"/>
  <c r="D312" i="3"/>
  <c r="D313" i="3"/>
  <c r="D314" i="3"/>
  <c r="D315" i="3"/>
  <c r="D316" i="3"/>
  <c r="D317" i="3"/>
  <c r="D318" i="3"/>
  <c r="D319" i="3"/>
  <c r="D320" i="3"/>
  <c r="D321" i="3"/>
  <c r="D322" i="3"/>
  <c r="D323" i="3"/>
  <c r="D324" i="3"/>
  <c r="D325" i="3"/>
  <c r="D326" i="3"/>
  <c r="D327" i="3"/>
  <c r="D328" i="3"/>
  <c r="D329" i="3"/>
  <c r="D330" i="3"/>
  <c r="D331" i="3"/>
  <c r="D332" i="3"/>
  <c r="D333" i="3"/>
  <c r="D334" i="3"/>
  <c r="D335" i="3"/>
  <c r="D336" i="3"/>
  <c r="D337" i="3"/>
  <c r="D338" i="3"/>
  <c r="D339" i="3"/>
  <c r="D340" i="3"/>
  <c r="D341" i="3"/>
  <c r="D342" i="3"/>
  <c r="D343" i="3"/>
  <c r="D344" i="3"/>
  <c r="D345" i="3"/>
  <c r="D346" i="3"/>
  <c r="D347" i="3"/>
  <c r="D348" i="3"/>
  <c r="D349" i="3"/>
  <c r="D350" i="3"/>
  <c r="D351" i="3"/>
  <c r="D352" i="3"/>
  <c r="D353" i="3"/>
  <c r="D354" i="3"/>
  <c r="D355" i="3"/>
  <c r="D356" i="3"/>
  <c r="D357" i="3"/>
  <c r="D358" i="3"/>
  <c r="D359" i="3"/>
  <c r="D360" i="3"/>
  <c r="D361" i="3"/>
  <c r="D362" i="3"/>
  <c r="D363" i="3"/>
  <c r="D364" i="3"/>
  <c r="D365" i="3"/>
  <c r="D366" i="3"/>
  <c r="D367" i="3"/>
  <c r="D368" i="3"/>
  <c r="D369" i="3"/>
  <c r="D370" i="3"/>
  <c r="D371" i="3"/>
  <c r="D372" i="3"/>
  <c r="D373" i="3"/>
  <c r="D374" i="3"/>
  <c r="D375" i="3"/>
  <c r="D376" i="3"/>
  <c r="D377" i="3"/>
  <c r="D378" i="3"/>
  <c r="D379" i="3"/>
  <c r="D380" i="3"/>
  <c r="D381" i="3"/>
  <c r="D382" i="3"/>
  <c r="D383" i="3"/>
  <c r="D384" i="3"/>
  <c r="D385" i="3"/>
  <c r="D386" i="3"/>
  <c r="D387" i="3"/>
  <c r="D388" i="3"/>
  <c r="D389" i="3"/>
  <c r="D390" i="3"/>
  <c r="D391" i="3"/>
  <c r="D392" i="3"/>
  <c r="D393" i="3"/>
  <c r="D394" i="3"/>
  <c r="D395" i="3"/>
  <c r="D396" i="3"/>
  <c r="D397" i="3"/>
  <c r="D398" i="3"/>
  <c r="D399" i="3"/>
  <c r="D400" i="3"/>
  <c r="D401" i="3"/>
  <c r="D402" i="3"/>
  <c r="D403" i="3"/>
  <c r="D404" i="3"/>
  <c r="D405" i="3"/>
  <c r="D406" i="3"/>
  <c r="D407" i="3"/>
  <c r="D408" i="3"/>
  <c r="D409" i="3"/>
  <c r="D410" i="3"/>
  <c r="D411" i="3"/>
  <c r="D412" i="3"/>
  <c r="D413" i="3"/>
  <c r="D414" i="3"/>
  <c r="D415" i="3"/>
  <c r="D416" i="3"/>
  <c r="D417" i="3"/>
  <c r="D418" i="3"/>
  <c r="D419" i="3"/>
  <c r="D420" i="3"/>
  <c r="D421" i="3"/>
  <c r="D422" i="3"/>
  <c r="D423" i="3"/>
  <c r="D424" i="3"/>
  <c r="D425" i="3"/>
  <c r="D426" i="3"/>
  <c r="D427" i="3"/>
  <c r="D428" i="3"/>
  <c r="D429" i="3"/>
  <c r="D430" i="3"/>
  <c r="D431" i="3"/>
  <c r="D432" i="3"/>
  <c r="D433" i="3"/>
  <c r="D434" i="3"/>
  <c r="D435" i="3"/>
  <c r="D436" i="3"/>
  <c r="D437" i="3"/>
  <c r="D438" i="3"/>
  <c r="D439" i="3"/>
  <c r="D440" i="3"/>
  <c r="D441" i="3"/>
  <c r="D442" i="3"/>
  <c r="D443" i="3"/>
  <c r="D444" i="3"/>
  <c r="D445" i="3"/>
  <c r="D446" i="3"/>
  <c r="D447" i="3"/>
  <c r="D448" i="3"/>
  <c r="D449" i="3"/>
  <c r="D450" i="3"/>
  <c r="D451" i="3"/>
  <c r="D452" i="3"/>
  <c r="D453" i="3"/>
  <c r="D454" i="3"/>
  <c r="D455" i="3"/>
  <c r="D456" i="3"/>
  <c r="D457" i="3"/>
  <c r="D458" i="3"/>
  <c r="D459" i="3"/>
  <c r="D460" i="3"/>
  <c r="D461" i="3"/>
  <c r="D462" i="3"/>
  <c r="D463" i="3"/>
  <c r="D464" i="3"/>
  <c r="D465" i="3"/>
  <c r="D466" i="3"/>
  <c r="D467" i="3"/>
  <c r="D468" i="3"/>
  <c r="D469" i="3"/>
  <c r="D470" i="3"/>
  <c r="D471" i="3"/>
  <c r="D472" i="3"/>
  <c r="D473" i="3"/>
  <c r="D474" i="3"/>
  <c r="D475" i="3"/>
  <c r="D476" i="3"/>
  <c r="D477" i="3"/>
  <c r="D478" i="3"/>
  <c r="D479" i="3"/>
  <c r="D480" i="3"/>
  <c r="D481" i="3"/>
  <c r="D482" i="3"/>
  <c r="D483" i="3"/>
  <c r="D484" i="3"/>
  <c r="D485" i="3"/>
  <c r="D486" i="3"/>
  <c r="D487" i="3"/>
  <c r="D488" i="3"/>
  <c r="D489" i="3"/>
  <c r="D490" i="3"/>
  <c r="D491" i="3"/>
  <c r="D492" i="3"/>
  <c r="D493" i="3"/>
  <c r="D494" i="3"/>
  <c r="D495" i="3"/>
  <c r="D496" i="3"/>
  <c r="D497" i="3"/>
  <c r="D498" i="3"/>
  <c r="D499" i="3"/>
  <c r="D500" i="3"/>
  <c r="D501" i="3"/>
  <c r="D502" i="3"/>
  <c r="D503" i="3"/>
  <c r="D504" i="3"/>
  <c r="D505" i="3"/>
  <c r="D506" i="3"/>
  <c r="D507" i="3"/>
  <c r="D508" i="3"/>
  <c r="D509" i="3"/>
  <c r="D510" i="3"/>
  <c r="D511" i="3"/>
  <c r="D512" i="3"/>
  <c r="D513" i="3"/>
  <c r="D514" i="3"/>
  <c r="D515" i="3"/>
  <c r="D516" i="3"/>
  <c r="D517" i="3"/>
  <c r="D518" i="3"/>
  <c r="D519" i="3"/>
  <c r="D520" i="3"/>
  <c r="D521" i="3"/>
  <c r="D522" i="3"/>
  <c r="D523" i="3"/>
  <c r="D524" i="3"/>
  <c r="D525" i="3"/>
  <c r="D526" i="3"/>
  <c r="D527" i="3"/>
  <c r="D528" i="3"/>
  <c r="D529" i="3"/>
  <c r="D530" i="3"/>
  <c r="D531" i="3"/>
  <c r="D532" i="3"/>
  <c r="D533" i="3"/>
  <c r="D534" i="3"/>
  <c r="D535" i="3"/>
  <c r="D536" i="3"/>
  <c r="D537" i="3"/>
  <c r="D538" i="3"/>
  <c r="D539" i="3"/>
  <c r="D540" i="3"/>
  <c r="D541" i="3"/>
  <c r="D542" i="3"/>
  <c r="D543" i="3"/>
  <c r="D544" i="3"/>
  <c r="D545" i="3"/>
  <c r="D546" i="3"/>
  <c r="D547" i="3"/>
  <c r="D548" i="3"/>
  <c r="D549" i="3"/>
  <c r="D550" i="3"/>
  <c r="D551" i="3"/>
  <c r="D552" i="3"/>
  <c r="D553" i="3"/>
  <c r="D554" i="3"/>
  <c r="D555" i="3"/>
  <c r="D556" i="3"/>
  <c r="D557" i="3"/>
  <c r="D558" i="3"/>
  <c r="D559" i="3"/>
  <c r="D560" i="3"/>
  <c r="D561" i="3"/>
  <c r="D562" i="3"/>
  <c r="D563" i="3"/>
  <c r="D564" i="3"/>
  <c r="D565" i="3"/>
  <c r="D566" i="3"/>
  <c r="D567" i="3"/>
  <c r="D568" i="3"/>
  <c r="D569" i="3"/>
  <c r="D570" i="3"/>
  <c r="D571" i="3"/>
  <c r="D572" i="3"/>
  <c r="D573" i="3"/>
  <c r="D574" i="3"/>
  <c r="D575" i="3"/>
  <c r="D576" i="3"/>
  <c r="D577" i="3"/>
  <c r="D578" i="3"/>
  <c r="D579" i="3"/>
  <c r="D580" i="3"/>
  <c r="D581" i="3"/>
  <c r="D582" i="3"/>
  <c r="D583" i="3"/>
  <c r="D584" i="3"/>
  <c r="D585" i="3"/>
  <c r="D586" i="3"/>
  <c r="D587" i="3"/>
  <c r="D588" i="3"/>
  <c r="D589" i="3"/>
  <c r="D590" i="3"/>
  <c r="D591" i="3"/>
  <c r="D592" i="3"/>
  <c r="D593" i="3"/>
  <c r="D594" i="3"/>
  <c r="D595" i="3"/>
  <c r="D596" i="3"/>
  <c r="D597" i="3"/>
  <c r="D598" i="3"/>
  <c r="D599" i="3"/>
  <c r="D600" i="3"/>
  <c r="D601" i="3"/>
  <c r="D602" i="3"/>
  <c r="D603" i="3"/>
  <c r="D604" i="3"/>
  <c r="D605" i="3"/>
  <c r="D606" i="3"/>
  <c r="D607" i="3"/>
  <c r="D608" i="3"/>
  <c r="D609" i="3"/>
  <c r="D610" i="3"/>
  <c r="D611" i="3"/>
  <c r="D612" i="3"/>
  <c r="D613" i="3"/>
  <c r="D614" i="3"/>
  <c r="D615" i="3"/>
  <c r="D616" i="3"/>
  <c r="H1" i="1"/>
  <c r="G1" i="1" l="1"/>
  <c r="K1" i="1"/>
  <c r="L1" i="1"/>
  <c r="M1" i="1"/>
  <c r="N1" i="1"/>
  <c r="P1" i="1"/>
  <c r="D1" i="1"/>
  <c r="B1" i="1"/>
  <c r="J1" i="1"/>
  <c r="E1" i="1"/>
  <c r="E2" i="3" a="1"/>
  <c r="E2" i="3" l="1"/>
  <c r="E3" i="3" a="1"/>
  <c r="E3" i="3" l="1"/>
  <c r="E4" i="3" a="1"/>
  <c r="E4" i="3" l="1"/>
  <c r="E5" i="3" a="1"/>
  <c r="E5" i="3" l="1"/>
  <c r="E6" i="3" a="1"/>
  <c r="E6" i="3" l="1"/>
  <c r="E7" i="3" a="1"/>
  <c r="E7" i="3" l="1"/>
  <c r="E8" i="3" a="1"/>
  <c r="E8" i="3" l="1"/>
  <c r="E9" i="3" a="1"/>
  <c r="E9" i="3" l="1"/>
  <c r="E10" i="3" a="1"/>
  <c r="E10" i="3" l="1"/>
  <c r="E11" i="3" a="1"/>
  <c r="E11" i="3" l="1"/>
  <c r="E12" i="3" a="1"/>
  <c r="E12" i="3" l="1"/>
  <c r="E13" i="3" a="1"/>
  <c r="E13" i="3" l="1"/>
  <c r="E14" i="3" a="1"/>
  <c r="E14" i="3" l="1"/>
  <c r="E15" i="3" a="1"/>
  <c r="E15" i="3" l="1"/>
  <c r="E16" i="3" a="1"/>
  <c r="E16" i="3" l="1"/>
  <c r="E17" i="3" a="1"/>
  <c r="E17" i="3" l="1"/>
  <c r="E18" i="3" a="1"/>
  <c r="E18" i="3" l="1"/>
  <c r="E19" i="3" a="1"/>
  <c r="E19" i="3" l="1"/>
  <c r="E20" i="3" a="1"/>
  <c r="E20" i="3" l="1"/>
  <c r="E21" i="3" a="1"/>
  <c r="E21" i="3" l="1"/>
  <c r="E22" i="3" a="1"/>
  <c r="E22" i="3" l="1"/>
  <c r="E23" i="3" a="1"/>
  <c r="E23" i="3" l="1"/>
  <c r="E24" i="3" a="1"/>
  <c r="E24" i="3" l="1"/>
  <c r="E25" i="3" a="1"/>
  <c r="E25" i="3" l="1"/>
  <c r="E26" i="3" a="1"/>
  <c r="E26" i="3" l="1"/>
  <c r="E27" i="3" a="1"/>
  <c r="E27" i="3" l="1"/>
  <c r="E28" i="3" a="1"/>
  <c r="E28" i="3" l="1"/>
  <c r="E29" i="3" a="1"/>
  <c r="E29" i="3" l="1"/>
  <c r="E30" i="3" a="1"/>
  <c r="E30" i="3" l="1"/>
  <c r="E31" i="3" a="1"/>
  <c r="E31" i="3" l="1"/>
  <c r="E32" i="3" a="1"/>
  <c r="E32" i="3" l="1"/>
  <c r="E33" i="3" a="1"/>
  <c r="E33" i="3" l="1"/>
  <c r="E34" i="3" a="1"/>
  <c r="E34" i="3" l="1"/>
  <c r="E35" i="3" a="1"/>
  <c r="E35" i="3" l="1"/>
  <c r="E36" i="3" a="1"/>
  <c r="E36" i="3" l="1"/>
  <c r="E37" i="3" a="1"/>
  <c r="E37" i="3" l="1"/>
  <c r="E38" i="3" a="1"/>
  <c r="E38" i="3" l="1"/>
  <c r="E39" i="3" a="1"/>
  <c r="E39" i="3" l="1"/>
  <c r="E40" i="3" a="1"/>
  <c r="E40" i="3" l="1"/>
  <c r="E41" i="3" a="1"/>
  <c r="E41" i="3" l="1"/>
  <c r="E42" i="3" a="1"/>
  <c r="E42" i="3" l="1"/>
  <c r="E43" i="3" a="1"/>
  <c r="E43" i="3" l="1"/>
  <c r="E44" i="3" a="1"/>
  <c r="E44" i="3" l="1"/>
  <c r="E45" i="3" a="1"/>
  <c r="E45" i="3" l="1"/>
  <c r="E46" i="3" a="1"/>
  <c r="E46" i="3" l="1"/>
  <c r="E47" i="3" a="1"/>
  <c r="E47" i="3" l="1"/>
  <c r="E48" i="3" a="1"/>
  <c r="E48" i="3" l="1"/>
  <c r="E49" i="3" a="1"/>
  <c r="E49" i="3" l="1"/>
  <c r="E50" i="3" a="1"/>
  <c r="E50" i="3" l="1"/>
  <c r="E51" i="3" a="1"/>
  <c r="E51" i="3" l="1"/>
  <c r="E52" i="3" a="1"/>
  <c r="E52" i="3" l="1"/>
  <c r="E53" i="3" a="1"/>
  <c r="E53" i="3" l="1"/>
  <c r="E54" i="3" a="1"/>
  <c r="E54" i="3" l="1"/>
  <c r="E55" i="3" a="1"/>
  <c r="E55" i="3" l="1"/>
  <c r="E56" i="3" a="1"/>
  <c r="E56" i="3" l="1"/>
  <c r="E57" i="3" a="1"/>
  <c r="E57" i="3" l="1"/>
  <c r="E58" i="3" a="1"/>
  <c r="E58" i="3" l="1"/>
  <c r="E59" i="3" a="1"/>
  <c r="E59" i="3" l="1"/>
  <c r="E60" i="3" a="1"/>
  <c r="E60" i="3" l="1"/>
  <c r="E61" i="3" a="1"/>
  <c r="E61" i="3" l="1"/>
  <c r="E62" i="3" a="1"/>
  <c r="E62" i="3" l="1"/>
  <c r="E63" i="3" a="1"/>
  <c r="E63" i="3" l="1"/>
  <c r="E64" i="3" a="1"/>
  <c r="E64" i="3" l="1"/>
  <c r="E65" i="3" a="1"/>
  <c r="E65" i="3" l="1"/>
  <c r="E66" i="3" a="1"/>
  <c r="E66" i="3" l="1"/>
  <c r="E67" i="3" a="1"/>
  <c r="E67" i="3" l="1"/>
  <c r="E68" i="3" a="1"/>
  <c r="E68" i="3" l="1"/>
  <c r="E69" i="3" a="1"/>
  <c r="E69" i="3" l="1"/>
  <c r="E70" i="3" a="1"/>
  <c r="E70" i="3" l="1"/>
  <c r="E71" i="3" a="1"/>
  <c r="E71" i="3" l="1"/>
  <c r="E72" i="3" a="1"/>
  <c r="E72" i="3" l="1"/>
  <c r="E73" i="3" a="1"/>
  <c r="E73" i="3" l="1"/>
  <c r="E74" i="3" a="1"/>
  <c r="E74" i="3" l="1"/>
  <c r="E75" i="3" a="1"/>
  <c r="E75" i="3" l="1"/>
  <c r="E76" i="3" a="1"/>
  <c r="E76" i="3" l="1"/>
  <c r="E77" i="3" a="1"/>
  <c r="E77" i="3" l="1"/>
  <c r="E78" i="3" a="1"/>
  <c r="E78" i="3" l="1"/>
  <c r="E79" i="3" a="1"/>
  <c r="E79" i="3" l="1"/>
  <c r="E80" i="3" a="1"/>
  <c r="E80" i="3" l="1"/>
  <c r="E81" i="3" a="1"/>
  <c r="E81" i="3" l="1"/>
  <c r="E82" i="3" a="1"/>
  <c r="E82" i="3" l="1"/>
  <c r="E83" i="3" a="1"/>
  <c r="E83" i="3" l="1"/>
  <c r="E84" i="3" a="1"/>
  <c r="E84" i="3" l="1"/>
  <c r="E85" i="3" a="1"/>
  <c r="E85" i="3" l="1"/>
  <c r="E86" i="3" a="1"/>
  <c r="E86" i="3" l="1"/>
  <c r="E87" i="3" a="1"/>
  <c r="E87" i="3" l="1"/>
  <c r="E88" i="3" a="1"/>
  <c r="E88" i="3" l="1"/>
  <c r="E89" i="3" a="1"/>
  <c r="E89" i="3" l="1"/>
  <c r="E90" i="3" a="1"/>
  <c r="E90" i="3" l="1"/>
  <c r="E91" i="3" a="1"/>
  <c r="E91" i="3" l="1"/>
  <c r="E92" i="3" a="1"/>
  <c r="E92" i="3" l="1"/>
  <c r="E93" i="3" a="1"/>
  <c r="E93" i="3" l="1"/>
  <c r="E94" i="3" a="1"/>
  <c r="E94" i="3" l="1"/>
  <c r="E95" i="3" a="1"/>
  <c r="E95" i="3" l="1"/>
  <c r="E96" i="3" a="1"/>
  <c r="E96" i="3" l="1"/>
  <c r="E97" i="3" a="1"/>
  <c r="E97" i="3" l="1"/>
  <c r="E98" i="3" a="1"/>
  <c r="E98" i="3" l="1"/>
  <c r="E99" i="3" a="1"/>
  <c r="E99" i="3" l="1"/>
  <c r="E100" i="3" a="1"/>
  <c r="E100" i="3" l="1"/>
  <c r="E101" i="3" a="1"/>
  <c r="E101" i="3" l="1"/>
  <c r="E102" i="3" a="1"/>
  <c r="E102" i="3" l="1"/>
  <c r="E103" i="3" a="1"/>
  <c r="E103" i="3" l="1"/>
  <c r="E104" i="3" a="1"/>
  <c r="E104" i="3" l="1"/>
  <c r="E105" i="3" a="1"/>
  <c r="E105" i="3" l="1"/>
  <c r="E106" i="3" a="1"/>
  <c r="E106" i="3" l="1"/>
  <c r="E107" i="3" a="1"/>
  <c r="E107" i="3" l="1"/>
  <c r="E108" i="3" a="1"/>
  <c r="E108" i="3" l="1"/>
  <c r="E109" i="3" a="1"/>
  <c r="E109" i="3" l="1"/>
  <c r="E110" i="3" a="1"/>
  <c r="E110" i="3" l="1"/>
  <c r="E111" i="3" a="1"/>
  <c r="E111" i="3" l="1"/>
  <c r="E112" i="3" a="1"/>
  <c r="E112" i="3" l="1"/>
  <c r="E113" i="3" a="1"/>
  <c r="E113" i="3" l="1"/>
  <c r="E114" i="3" a="1"/>
  <c r="E114" i="3" l="1"/>
  <c r="E115" i="3" a="1"/>
  <c r="E115" i="3" l="1"/>
  <c r="E116" i="3" a="1"/>
  <c r="E116" i="3" l="1"/>
  <c r="E117" i="3" a="1"/>
  <c r="E117" i="3" l="1"/>
  <c r="E118" i="3" a="1"/>
  <c r="E118" i="3" l="1"/>
  <c r="E119" i="3" a="1"/>
  <c r="E119" i="3" l="1"/>
  <c r="E120" i="3" a="1"/>
  <c r="E120" i="3" l="1"/>
  <c r="E121" i="3" a="1"/>
  <c r="E121" i="3" l="1"/>
  <c r="E122" i="3" a="1"/>
  <c r="E122" i="3" l="1"/>
  <c r="E123" i="3" a="1"/>
  <c r="E123" i="3" l="1"/>
  <c r="E124" i="3" a="1"/>
  <c r="E124" i="3" l="1"/>
  <c r="E125" i="3" a="1"/>
  <c r="E125" i="3" l="1"/>
  <c r="E126" i="3" a="1"/>
  <c r="E126" i="3" l="1"/>
  <c r="E127" i="3" a="1"/>
  <c r="E127" i="3" l="1"/>
  <c r="E128" i="3" a="1"/>
  <c r="E128" i="3" l="1"/>
  <c r="E129" i="3" a="1"/>
  <c r="E129" i="3" l="1"/>
  <c r="E130" i="3" a="1"/>
  <c r="E130" i="3" l="1"/>
  <c r="E131" i="3" a="1"/>
  <c r="E131" i="3" l="1"/>
  <c r="E132" i="3" a="1"/>
  <c r="E132" i="3" l="1"/>
  <c r="E133" i="3" a="1"/>
  <c r="E133" i="3" l="1"/>
  <c r="E134" i="3" a="1"/>
  <c r="E134" i="3" l="1"/>
  <c r="E135" i="3" a="1"/>
  <c r="E135" i="3" l="1"/>
  <c r="E136" i="3" a="1"/>
  <c r="E136" i="3" l="1"/>
  <c r="E137" i="3" a="1"/>
  <c r="E137" i="3" l="1"/>
  <c r="E138" i="3" a="1"/>
  <c r="E138" i="3" l="1"/>
  <c r="E139" i="3" a="1"/>
  <c r="E139" i="3" l="1"/>
  <c r="E140" i="3" a="1"/>
  <c r="E140" i="3" l="1"/>
  <c r="E141" i="3" a="1"/>
  <c r="E141" i="3" l="1"/>
  <c r="E142" i="3" a="1"/>
  <c r="E142" i="3" l="1"/>
  <c r="E143" i="3" a="1"/>
  <c r="E143" i="3" l="1"/>
  <c r="E144" i="3" a="1"/>
  <c r="E144" i="3" l="1"/>
  <c r="E145" i="3" a="1"/>
  <c r="E145" i="3" l="1"/>
  <c r="E146" i="3" a="1"/>
  <c r="E146" i="3" l="1"/>
  <c r="E147" i="3" a="1"/>
  <c r="E147" i="3" l="1"/>
  <c r="E148" i="3" a="1"/>
  <c r="E148" i="3" l="1"/>
  <c r="E149" i="3" a="1"/>
  <c r="E149" i="3" l="1"/>
  <c r="E150" i="3" a="1"/>
  <c r="E150" i="3" l="1"/>
  <c r="E151" i="3" a="1"/>
  <c r="E151" i="3" l="1"/>
  <c r="E152" i="3" a="1"/>
  <c r="E152" i="3" l="1"/>
  <c r="E153" i="3" a="1"/>
  <c r="E153" i="3" l="1"/>
  <c r="E154" i="3" a="1"/>
  <c r="E154" i="3" l="1"/>
  <c r="E155" i="3" a="1"/>
  <c r="E155" i="3" l="1"/>
  <c r="E156" i="3" a="1"/>
  <c r="E156" i="3" l="1"/>
  <c r="E157" i="3" a="1"/>
  <c r="E157" i="3" l="1"/>
  <c r="E158" i="3" a="1"/>
  <c r="E158" i="3" l="1"/>
  <c r="E159" i="3" a="1"/>
  <c r="E159" i="3" l="1"/>
  <c r="E160" i="3" a="1"/>
  <c r="E160" i="3" l="1"/>
  <c r="E161" i="3" a="1"/>
  <c r="E161" i="3" l="1"/>
  <c r="E162" i="3" a="1"/>
  <c r="E162" i="3" l="1"/>
  <c r="E163" i="3" a="1"/>
  <c r="E163" i="3" l="1"/>
  <c r="E164" i="3" a="1"/>
  <c r="E164" i="3" l="1"/>
  <c r="E165" i="3" a="1"/>
  <c r="E165" i="3" l="1"/>
  <c r="E166" i="3" a="1"/>
  <c r="E166" i="3" l="1"/>
  <c r="E167" i="3" a="1"/>
  <c r="E167" i="3" l="1"/>
  <c r="E168" i="3" a="1"/>
  <c r="E168" i="3" l="1"/>
  <c r="E169" i="3" a="1"/>
  <c r="E169" i="3" l="1"/>
  <c r="E170" i="3" a="1"/>
  <c r="E170" i="3" l="1"/>
  <c r="E171" i="3" a="1"/>
  <c r="E171" i="3" l="1"/>
  <c r="E172" i="3" a="1"/>
  <c r="E172" i="3" l="1"/>
  <c r="E173" i="3" a="1"/>
  <c r="E173" i="3" l="1"/>
  <c r="E174" i="3" a="1"/>
  <c r="E174" i="3" l="1"/>
  <c r="E175" i="3" a="1"/>
  <c r="E175" i="3" l="1"/>
  <c r="E176" i="3" a="1"/>
  <c r="E176" i="3" l="1"/>
  <c r="E177" i="3" a="1"/>
  <c r="E177" i="3" l="1"/>
  <c r="E178" i="3" a="1"/>
  <c r="E178" i="3" l="1"/>
  <c r="E179" i="3" a="1"/>
  <c r="E179" i="3" l="1"/>
  <c r="E180" i="3" a="1"/>
  <c r="E180" i="3" l="1"/>
  <c r="E181" i="3" a="1"/>
  <c r="E181" i="3" l="1"/>
  <c r="E182" i="3" a="1"/>
  <c r="E182" i="3" l="1"/>
  <c r="E183" i="3" a="1"/>
  <c r="E183" i="3" l="1"/>
  <c r="E184" i="3" a="1"/>
  <c r="E184" i="3" l="1"/>
  <c r="E185" i="3" a="1"/>
  <c r="E185" i="3" l="1"/>
  <c r="E186" i="3" a="1"/>
  <c r="E186" i="3" l="1"/>
  <c r="E187" i="3" a="1"/>
  <c r="E187" i="3" l="1"/>
  <c r="E188" i="3" a="1"/>
  <c r="E188" i="3" l="1"/>
  <c r="E189" i="3" a="1"/>
  <c r="E189" i="3" l="1"/>
  <c r="E190" i="3" a="1"/>
  <c r="E190" i="3" l="1"/>
  <c r="E191" i="3" a="1"/>
  <c r="E191" i="3" l="1"/>
  <c r="E192" i="3" a="1"/>
  <c r="E192" i="3" l="1"/>
  <c r="E193" i="3" a="1"/>
  <c r="E193" i="3" l="1"/>
  <c r="E194" i="3" a="1"/>
  <c r="E194" i="3" l="1"/>
  <c r="E195" i="3" a="1"/>
  <c r="E195" i="3" l="1"/>
  <c r="E196" i="3" a="1"/>
  <c r="E196" i="3" l="1"/>
  <c r="E197" i="3" a="1"/>
  <c r="E197" i="3" l="1"/>
  <c r="E198" i="3" a="1"/>
  <c r="E198" i="3" l="1"/>
  <c r="E199" i="3" a="1"/>
  <c r="E199" i="3" l="1"/>
  <c r="E200" i="3" a="1"/>
  <c r="E200" i="3" l="1"/>
  <c r="E201" i="3" a="1"/>
  <c r="E201" i="3" l="1"/>
  <c r="E202" i="3" a="1"/>
  <c r="E202" i="3" l="1"/>
  <c r="E203" i="3" a="1"/>
  <c r="E203" i="3" l="1"/>
  <c r="E204" i="3" a="1"/>
  <c r="E204" i="3" l="1"/>
  <c r="E205" i="3" a="1"/>
  <c r="E205" i="3" l="1"/>
  <c r="E206" i="3" a="1"/>
  <c r="E206" i="3" l="1"/>
  <c r="E207" i="3" a="1"/>
  <c r="E207" i="3" l="1"/>
  <c r="E208" i="3" a="1"/>
  <c r="E208" i="3" l="1"/>
  <c r="E209" i="3" a="1"/>
  <c r="E209" i="3" l="1"/>
  <c r="E210" i="3" a="1"/>
  <c r="E210" i="3" l="1"/>
  <c r="E211" i="3" a="1"/>
  <c r="E211" i="3" l="1"/>
  <c r="E212" i="3" a="1"/>
  <c r="E212" i="3" l="1"/>
  <c r="E213" i="3" a="1"/>
  <c r="E213" i="3" l="1"/>
  <c r="E214" i="3" a="1"/>
  <c r="E214" i="3" l="1"/>
  <c r="E215" i="3" a="1"/>
  <c r="E215" i="3" l="1"/>
  <c r="E216" i="3" a="1"/>
  <c r="E216" i="3" l="1"/>
  <c r="E217" i="3" a="1"/>
  <c r="E217" i="3" l="1"/>
  <c r="E218" i="3" a="1"/>
  <c r="E218" i="3" l="1"/>
  <c r="E219" i="3" a="1"/>
  <c r="E219" i="3" l="1"/>
  <c r="E220" i="3" a="1"/>
  <c r="E220" i="3" l="1"/>
  <c r="E221" i="3" a="1"/>
  <c r="E221" i="3" l="1"/>
  <c r="E222" i="3" a="1"/>
  <c r="E222" i="3" l="1"/>
  <c r="E223" i="3" a="1"/>
  <c r="E223" i="3" l="1"/>
  <c r="E224" i="3" a="1"/>
  <c r="E224" i="3" l="1"/>
  <c r="E225" i="3" a="1"/>
  <c r="E225" i="3" l="1"/>
  <c r="E226" i="3" a="1"/>
  <c r="E226" i="3" l="1"/>
  <c r="E227" i="3" a="1"/>
  <c r="E227" i="3" l="1"/>
  <c r="E228" i="3" a="1"/>
  <c r="E228" i="3" l="1"/>
  <c r="E229" i="3" a="1"/>
  <c r="E229" i="3" l="1"/>
  <c r="E230" i="3" a="1"/>
  <c r="E230" i="3" l="1"/>
  <c r="E231" i="3" a="1"/>
  <c r="E231" i="3" l="1"/>
  <c r="E232" i="3" a="1"/>
  <c r="E232" i="3" l="1"/>
  <c r="E233" i="3" a="1"/>
  <c r="E233" i="3" l="1"/>
  <c r="E234" i="3" a="1"/>
  <c r="E234" i="3" l="1"/>
  <c r="E235" i="3" a="1"/>
  <c r="E235" i="3" l="1"/>
  <c r="E236" i="3" a="1"/>
  <c r="E236" i="3" l="1"/>
  <c r="E237" i="3" a="1"/>
  <c r="E237" i="3" l="1"/>
  <c r="E238" i="3" a="1"/>
  <c r="E238" i="3" l="1"/>
  <c r="E239" i="3" a="1"/>
  <c r="E239" i="3" l="1"/>
  <c r="E240" i="3" a="1"/>
  <c r="E240" i="3" l="1"/>
  <c r="E241" i="3" a="1"/>
  <c r="E241" i="3" l="1"/>
  <c r="E242" i="3" a="1"/>
  <c r="E242" i="3" l="1"/>
  <c r="E243" i="3" a="1"/>
  <c r="E243" i="3" l="1"/>
  <c r="E244" i="3" a="1"/>
  <c r="E244" i="3" l="1"/>
  <c r="E245" i="3" a="1"/>
  <c r="E245" i="3" l="1"/>
  <c r="E246" i="3" a="1"/>
  <c r="E246" i="3" l="1"/>
  <c r="E247" i="3" a="1"/>
  <c r="E247" i="3" l="1"/>
  <c r="E248" i="3" a="1"/>
  <c r="E248" i="3" l="1"/>
  <c r="E249" i="3" a="1"/>
  <c r="E249" i="3" l="1"/>
  <c r="E250" i="3" a="1"/>
  <c r="E250" i="3" l="1"/>
  <c r="E251" i="3" a="1"/>
  <c r="E251" i="3" l="1"/>
  <c r="E252" i="3" a="1"/>
  <c r="E252" i="3" l="1"/>
  <c r="E253" i="3" a="1"/>
  <c r="E253" i="3" l="1"/>
  <c r="E254" i="3" a="1"/>
  <c r="E254" i="3" l="1"/>
  <c r="E255" i="3" a="1"/>
  <c r="E255" i="3" l="1"/>
  <c r="E256" i="3" a="1"/>
  <c r="E256" i="3" l="1"/>
  <c r="E257" i="3" a="1"/>
  <c r="E257" i="3" l="1"/>
  <c r="E258" i="3" a="1"/>
  <c r="E258" i="3" l="1"/>
  <c r="E259" i="3" a="1"/>
  <c r="E259" i="3" l="1"/>
  <c r="E260" i="3" a="1"/>
  <c r="E260" i="3" l="1"/>
  <c r="E261" i="3" a="1"/>
  <c r="E261" i="3" l="1"/>
  <c r="E262" i="3" a="1"/>
  <c r="E262" i="3" l="1"/>
  <c r="E263" i="3" a="1"/>
  <c r="E263" i="3" l="1"/>
  <c r="E264" i="3" a="1"/>
  <c r="E264" i="3" l="1"/>
  <c r="E265" i="3" a="1"/>
  <c r="E265" i="3" l="1"/>
  <c r="E266" i="3" a="1"/>
  <c r="E266" i="3" l="1"/>
  <c r="E267" i="3" a="1"/>
  <c r="E267" i="3" l="1"/>
  <c r="E268" i="3" a="1"/>
  <c r="E268" i="3" l="1"/>
  <c r="E269" i="3" a="1"/>
  <c r="E269" i="3" l="1"/>
  <c r="E270" i="3" a="1"/>
  <c r="E270" i="3" l="1"/>
  <c r="E271" i="3" a="1"/>
  <c r="E271" i="3" l="1"/>
  <c r="E272" i="3" a="1"/>
  <c r="E272" i="3" l="1"/>
  <c r="E273" i="3" a="1"/>
  <c r="E273" i="3" l="1"/>
  <c r="E274" i="3" a="1"/>
  <c r="E274" i="3" l="1"/>
  <c r="E275" i="3" a="1"/>
  <c r="E275" i="3" l="1"/>
  <c r="E276" i="3" a="1"/>
  <c r="E276" i="3" l="1"/>
  <c r="E277" i="3" a="1"/>
  <c r="E277" i="3" l="1"/>
  <c r="E278" i="3" a="1"/>
  <c r="E278" i="3" l="1"/>
  <c r="E279" i="3" a="1"/>
  <c r="E279" i="3" l="1"/>
  <c r="E280" i="3" a="1"/>
  <c r="E280" i="3" l="1"/>
  <c r="E281" i="3" a="1"/>
  <c r="E281" i="3" l="1"/>
  <c r="E282" i="3" a="1"/>
  <c r="E282" i="3" l="1"/>
  <c r="E283" i="3" a="1"/>
  <c r="E283" i="3" l="1"/>
  <c r="E284" i="3" a="1"/>
  <c r="E284" i="3" l="1"/>
  <c r="E285" i="3" a="1"/>
  <c r="E285" i="3" l="1"/>
  <c r="E286" i="3" a="1"/>
  <c r="E286" i="3" l="1"/>
  <c r="E287" i="3" a="1"/>
  <c r="E287" i="3" l="1"/>
  <c r="E288" i="3" a="1"/>
  <c r="E288" i="3" l="1"/>
  <c r="E289" i="3" a="1"/>
  <c r="E289" i="3" l="1"/>
  <c r="E290" i="3" a="1"/>
  <c r="E290" i="3" l="1"/>
  <c r="E291" i="3" a="1"/>
  <c r="E291" i="3" l="1"/>
  <c r="E292" i="3" a="1"/>
  <c r="E292" i="3" l="1"/>
  <c r="E293" i="3" a="1"/>
  <c r="E293" i="3" l="1"/>
  <c r="E294" i="3" a="1"/>
  <c r="E294" i="3" l="1"/>
  <c r="E295" i="3" a="1"/>
  <c r="E295" i="3" l="1"/>
  <c r="E296" i="3" a="1"/>
  <c r="E296" i="3" l="1"/>
  <c r="E297" i="3" a="1"/>
  <c r="E297" i="3" l="1"/>
  <c r="E298" i="3" a="1"/>
  <c r="E298" i="3" l="1"/>
  <c r="E299" i="3" a="1"/>
  <c r="E299" i="3" l="1"/>
  <c r="E300" i="3" a="1"/>
  <c r="E300" i="3" l="1"/>
  <c r="E301" i="3" a="1"/>
  <c r="E301" i="3" l="1"/>
  <c r="E302" i="3" a="1"/>
  <c r="E302" i="3" l="1"/>
  <c r="E303" i="3" a="1"/>
  <c r="E303" i="3" l="1"/>
  <c r="E304" i="3" a="1"/>
  <c r="E304" i="3" l="1"/>
  <c r="E305" i="3" a="1"/>
  <c r="E305" i="3" l="1"/>
  <c r="E306" i="3" a="1"/>
  <c r="E306" i="3" l="1"/>
  <c r="E307" i="3" a="1"/>
  <c r="E307" i="3" l="1"/>
  <c r="E308" i="3" a="1"/>
  <c r="E308" i="3" l="1"/>
  <c r="E309" i="3" a="1"/>
  <c r="E309" i="3" l="1"/>
  <c r="E310" i="3" a="1"/>
  <c r="E310" i="3" l="1"/>
  <c r="E311" i="3" a="1"/>
  <c r="E311" i="3" l="1"/>
  <c r="E312" i="3" a="1"/>
  <c r="E312" i="3" l="1"/>
  <c r="E313" i="3" a="1"/>
  <c r="E313" i="3" l="1"/>
  <c r="E314" i="3" a="1"/>
  <c r="E314" i="3" l="1"/>
  <c r="E315" i="3" a="1"/>
  <c r="E315" i="3" l="1"/>
  <c r="E316" i="3" a="1"/>
  <c r="E316" i="3" l="1"/>
  <c r="E317" i="3" a="1"/>
  <c r="E317" i="3" l="1"/>
  <c r="E318" i="3" a="1"/>
  <c r="E318" i="3" l="1"/>
  <c r="E319" i="3" a="1"/>
  <c r="E319" i="3" l="1"/>
  <c r="E320" i="3" a="1"/>
  <c r="E320" i="3" l="1"/>
  <c r="E321" i="3" a="1"/>
  <c r="E321" i="3" l="1"/>
  <c r="E322" i="3" a="1"/>
  <c r="E322" i="3" l="1"/>
  <c r="E323" i="3" a="1"/>
  <c r="E323" i="3" l="1"/>
  <c r="E324" i="3" a="1"/>
  <c r="E324" i="3" l="1"/>
  <c r="E325" i="3" a="1"/>
  <c r="E325" i="3" l="1"/>
  <c r="E326" i="3" a="1"/>
  <c r="E326" i="3" l="1"/>
  <c r="E327" i="3" a="1"/>
  <c r="E327" i="3" l="1"/>
  <c r="E328" i="3" a="1"/>
  <c r="E328" i="3" l="1"/>
  <c r="E329" i="3" a="1"/>
  <c r="E329" i="3" l="1"/>
  <c r="E330" i="3" a="1"/>
  <c r="E330" i="3" l="1"/>
  <c r="E331" i="3" a="1"/>
  <c r="E331" i="3" l="1"/>
  <c r="E332" i="3" a="1"/>
  <c r="E332" i="3" l="1"/>
  <c r="E333" i="3" a="1"/>
  <c r="E333" i="3" l="1"/>
  <c r="E334" i="3" a="1"/>
  <c r="E334" i="3" l="1"/>
  <c r="E335" i="3" a="1"/>
  <c r="E335" i="3" l="1"/>
  <c r="E336" i="3" a="1"/>
  <c r="E336" i="3" l="1"/>
  <c r="E337" i="3" a="1"/>
  <c r="E337" i="3" l="1"/>
  <c r="E338" i="3" a="1"/>
  <c r="E338" i="3" l="1"/>
  <c r="E339" i="3" a="1"/>
  <c r="E339" i="3" l="1"/>
  <c r="E340" i="3" a="1"/>
  <c r="E340" i="3" l="1"/>
  <c r="E341" i="3" a="1"/>
  <c r="E341" i="3" l="1"/>
  <c r="E342" i="3" a="1"/>
  <c r="E342" i="3" l="1"/>
  <c r="E343" i="3" a="1"/>
  <c r="E343" i="3" l="1"/>
  <c r="E344" i="3" a="1"/>
  <c r="E344" i="3" l="1"/>
  <c r="E345" i="3" a="1"/>
  <c r="E345" i="3" l="1"/>
  <c r="E346" i="3" a="1"/>
  <c r="E346" i="3" l="1"/>
  <c r="E347" i="3" a="1"/>
  <c r="E347" i="3" l="1"/>
  <c r="E348" i="3" a="1"/>
  <c r="E348" i="3" l="1"/>
  <c r="E349" i="3" a="1"/>
  <c r="E349" i="3" l="1"/>
  <c r="E350" i="3" a="1"/>
  <c r="E350" i="3" l="1"/>
  <c r="E351" i="3" a="1"/>
  <c r="E351" i="3" l="1"/>
  <c r="E352" i="3" a="1"/>
  <c r="E352" i="3" l="1"/>
  <c r="E353" i="3" a="1"/>
  <c r="E353" i="3" l="1"/>
  <c r="E354" i="3" a="1"/>
  <c r="E354" i="3" l="1"/>
  <c r="E355" i="3" a="1"/>
  <c r="E355" i="3" l="1"/>
  <c r="E356" i="3" a="1"/>
  <c r="E356" i="3" l="1"/>
  <c r="E357" i="3" a="1"/>
  <c r="E357" i="3" l="1"/>
  <c r="E358" i="3" a="1"/>
  <c r="E358" i="3" l="1"/>
  <c r="E359" i="3" a="1"/>
  <c r="E359" i="3" l="1"/>
  <c r="E360" i="3" a="1"/>
  <c r="E360" i="3" l="1"/>
  <c r="E361" i="3" a="1"/>
  <c r="E361" i="3" l="1"/>
  <c r="E362" i="3" a="1"/>
  <c r="E362" i="3" l="1"/>
  <c r="E363" i="3" a="1"/>
  <c r="E363" i="3" l="1"/>
  <c r="E364" i="3" a="1"/>
  <c r="E364" i="3" l="1"/>
  <c r="E365" i="3" a="1"/>
  <c r="E365" i="3" l="1"/>
  <c r="E366" i="3" a="1"/>
  <c r="E366" i="3" l="1"/>
  <c r="E367" i="3" a="1"/>
  <c r="E367" i="3" l="1"/>
  <c r="E368" i="3" a="1"/>
  <c r="E368" i="3" l="1"/>
  <c r="E369" i="3" a="1"/>
  <c r="E369" i="3" l="1"/>
  <c r="E370" i="3" a="1"/>
  <c r="E370" i="3" l="1"/>
  <c r="E371" i="3" a="1"/>
  <c r="E371" i="3" l="1"/>
  <c r="E372" i="3" a="1"/>
  <c r="E372" i="3" l="1"/>
  <c r="E373" i="3" a="1"/>
  <c r="E373" i="3" l="1"/>
  <c r="E374" i="3" a="1"/>
  <c r="E374" i="3" l="1"/>
  <c r="E375" i="3" a="1"/>
  <c r="E375" i="3" l="1"/>
  <c r="E376" i="3" a="1"/>
  <c r="E376" i="3" l="1"/>
  <c r="E377" i="3" a="1"/>
  <c r="E377" i="3" l="1"/>
  <c r="E378" i="3" a="1"/>
  <c r="E378" i="3" l="1"/>
  <c r="E379" i="3" a="1"/>
  <c r="E379" i="3" l="1"/>
  <c r="E380" i="3" a="1"/>
  <c r="E380" i="3" l="1"/>
  <c r="E381" i="3" a="1"/>
  <c r="E381" i="3" l="1"/>
  <c r="E382" i="3" a="1"/>
  <c r="E382" i="3" l="1"/>
  <c r="E383" i="3" a="1"/>
  <c r="E383" i="3" l="1"/>
  <c r="E384" i="3" a="1"/>
  <c r="E384" i="3" l="1"/>
  <c r="E385" i="3" a="1"/>
  <c r="E385" i="3" l="1"/>
  <c r="E386" i="3" a="1"/>
  <c r="E386" i="3" l="1"/>
  <c r="E387" i="3" a="1"/>
  <c r="E387" i="3" l="1"/>
  <c r="E388" i="3" a="1"/>
  <c r="E388" i="3" l="1"/>
  <c r="E389" i="3" a="1"/>
  <c r="E389" i="3" l="1"/>
  <c r="E390" i="3" a="1"/>
  <c r="E390" i="3" l="1"/>
  <c r="E391" i="3" a="1"/>
  <c r="E391" i="3" l="1"/>
  <c r="E392" i="3" a="1"/>
  <c r="E392" i="3" l="1"/>
  <c r="E393" i="3" a="1"/>
  <c r="E393" i="3" l="1"/>
  <c r="E394" i="3" a="1"/>
  <c r="E394" i="3" l="1"/>
  <c r="E395" i="3" a="1"/>
  <c r="E395" i="3" l="1"/>
  <c r="E396" i="3" a="1"/>
  <c r="E396" i="3" l="1"/>
  <c r="E397" i="3" a="1"/>
  <c r="E397" i="3" l="1"/>
  <c r="E398" i="3" a="1"/>
  <c r="E398" i="3" l="1"/>
  <c r="E399" i="3" a="1"/>
  <c r="E399" i="3" l="1"/>
  <c r="E400" i="3" a="1"/>
  <c r="E400" i="3" l="1"/>
  <c r="E401" i="3" a="1"/>
  <c r="E401" i="3" l="1"/>
  <c r="E402" i="3" a="1"/>
  <c r="E402" i="3" l="1"/>
  <c r="E403" i="3" a="1"/>
  <c r="E403" i="3" l="1"/>
  <c r="E404" i="3" a="1"/>
  <c r="E404" i="3" l="1"/>
  <c r="E405" i="3" a="1"/>
  <c r="E405" i="3" l="1"/>
  <c r="E406" i="3" a="1"/>
  <c r="E406" i="3" l="1"/>
  <c r="E407" i="3" a="1"/>
  <c r="E407" i="3" l="1"/>
  <c r="E408" i="3" a="1"/>
  <c r="E408" i="3" l="1"/>
  <c r="E409" i="3" a="1"/>
  <c r="E409" i="3" l="1"/>
  <c r="E410" i="3" a="1"/>
  <c r="E410" i="3" l="1"/>
  <c r="E411" i="3" a="1"/>
  <c r="E411" i="3" l="1"/>
  <c r="E412" i="3" a="1"/>
  <c r="E412" i="3" l="1"/>
  <c r="E413" i="3" a="1"/>
  <c r="E413" i="3" l="1"/>
  <c r="E414" i="3" a="1"/>
  <c r="E414" i="3" l="1"/>
  <c r="E415" i="3" a="1"/>
  <c r="E415" i="3" l="1"/>
  <c r="E416" i="3" a="1"/>
  <c r="E416" i="3" l="1"/>
  <c r="E417" i="3" a="1"/>
  <c r="E417" i="3" l="1"/>
  <c r="E418" i="3" a="1"/>
  <c r="E418" i="3" l="1"/>
  <c r="E419" i="3" a="1"/>
  <c r="E419" i="3" l="1"/>
  <c r="E420" i="3" a="1"/>
  <c r="E420" i="3" l="1"/>
  <c r="E421" i="3" a="1"/>
  <c r="E421" i="3" l="1"/>
  <c r="E422" i="3" a="1"/>
  <c r="E422" i="3" l="1"/>
  <c r="E423" i="3" a="1"/>
  <c r="E423" i="3" l="1"/>
  <c r="E424" i="3" a="1"/>
  <c r="E424" i="3" l="1"/>
  <c r="E425" i="3" a="1"/>
  <c r="E425" i="3" l="1"/>
  <c r="E426" i="3" a="1"/>
  <c r="E426" i="3" l="1"/>
  <c r="E427" i="3" a="1"/>
  <c r="E427" i="3" l="1"/>
  <c r="E428" i="3" a="1"/>
  <c r="E428" i="3" l="1"/>
  <c r="E429" i="3" a="1"/>
  <c r="E429" i="3" l="1"/>
  <c r="E430" i="3" a="1"/>
  <c r="E430" i="3" l="1"/>
  <c r="E431" i="3" a="1"/>
  <c r="E431" i="3" l="1"/>
  <c r="E432" i="3" a="1"/>
  <c r="E432" i="3" l="1"/>
  <c r="E433" i="3" a="1"/>
  <c r="E433" i="3" l="1"/>
  <c r="E434" i="3" a="1"/>
  <c r="E434" i="3" l="1"/>
  <c r="E435" i="3" a="1"/>
  <c r="E435" i="3" l="1"/>
  <c r="E436" i="3" a="1"/>
  <c r="E436" i="3" l="1"/>
  <c r="E437" i="3" a="1"/>
  <c r="E437" i="3" l="1"/>
  <c r="E438" i="3" a="1"/>
  <c r="E438" i="3" l="1"/>
  <c r="E439" i="3" a="1"/>
  <c r="E439" i="3" l="1"/>
  <c r="E440" i="3" a="1"/>
  <c r="E440" i="3" l="1"/>
  <c r="E441" i="3" a="1"/>
  <c r="E441" i="3" l="1"/>
  <c r="E442" i="3" a="1"/>
  <c r="E442" i="3" l="1"/>
  <c r="E443" i="3" a="1"/>
  <c r="E443" i="3" l="1"/>
  <c r="E444" i="3" a="1"/>
  <c r="E444" i="3" l="1"/>
  <c r="E445" i="3" a="1"/>
  <c r="E445" i="3" l="1"/>
  <c r="E446" i="3" a="1"/>
  <c r="E446" i="3" l="1"/>
  <c r="E447" i="3" a="1"/>
  <c r="E447" i="3" l="1"/>
  <c r="E448" i="3" a="1"/>
  <c r="E448" i="3" l="1"/>
  <c r="E449" i="3" a="1"/>
  <c r="E449" i="3" l="1"/>
  <c r="E450" i="3" a="1"/>
  <c r="E450" i="3" l="1"/>
  <c r="E451" i="3" a="1"/>
  <c r="E451" i="3" l="1"/>
  <c r="E452" i="3" a="1"/>
  <c r="E452" i="3" l="1"/>
  <c r="E453" i="3" a="1"/>
  <c r="E453" i="3" l="1"/>
  <c r="E454" i="3" a="1"/>
  <c r="E454" i="3" l="1"/>
  <c r="E455" i="3" a="1"/>
  <c r="E455" i="3" l="1"/>
  <c r="E456" i="3" a="1"/>
  <c r="E456" i="3" l="1"/>
  <c r="E457" i="3" a="1"/>
  <c r="E457" i="3" l="1"/>
  <c r="E458" i="3" a="1"/>
  <c r="E458" i="3" l="1"/>
  <c r="E459" i="3" a="1"/>
  <c r="E459" i="3" l="1"/>
  <c r="E460" i="3" a="1"/>
  <c r="E460" i="3" l="1"/>
  <c r="E461" i="3" a="1"/>
  <c r="E461" i="3" l="1"/>
  <c r="E462" i="3" a="1"/>
  <c r="E462" i="3" l="1"/>
  <c r="E463" i="3" a="1"/>
  <c r="E463" i="3" l="1"/>
  <c r="E464" i="3" a="1"/>
  <c r="E464" i="3" l="1"/>
  <c r="E465" i="3" a="1"/>
  <c r="E465" i="3" l="1"/>
  <c r="E466" i="3" a="1"/>
  <c r="E466" i="3" l="1"/>
  <c r="E467" i="3" a="1"/>
  <c r="E467" i="3" l="1"/>
  <c r="E468" i="3" a="1"/>
  <c r="E468" i="3" l="1"/>
  <c r="E469" i="3" a="1"/>
  <c r="E469" i="3" l="1"/>
  <c r="E470" i="3" a="1"/>
  <c r="E470" i="3" l="1"/>
  <c r="E471" i="3" a="1"/>
  <c r="E471" i="3" l="1"/>
  <c r="E472" i="3" a="1"/>
  <c r="E472" i="3" l="1"/>
  <c r="E473" i="3" a="1"/>
  <c r="E473" i="3" l="1"/>
  <c r="E474" i="3" a="1"/>
  <c r="E474" i="3" l="1"/>
  <c r="E475" i="3" a="1"/>
  <c r="E475" i="3" l="1"/>
  <c r="E476" i="3" a="1"/>
  <c r="E476" i="3" l="1"/>
  <c r="E477" i="3" a="1"/>
  <c r="E477" i="3" l="1"/>
  <c r="E478" i="3" a="1"/>
  <c r="E478" i="3" l="1"/>
  <c r="E479" i="3" a="1"/>
  <c r="E479" i="3" l="1"/>
  <c r="E480" i="3" a="1"/>
  <c r="E480" i="3" l="1"/>
  <c r="E481" i="3" a="1"/>
  <c r="E481" i="3" l="1"/>
  <c r="E482" i="3" a="1"/>
  <c r="E482" i="3" l="1"/>
  <c r="E483" i="3" a="1"/>
  <c r="E483" i="3" l="1"/>
  <c r="E484" i="3" a="1"/>
  <c r="E484" i="3" l="1"/>
  <c r="E485" i="3" a="1"/>
  <c r="E485" i="3" l="1"/>
  <c r="E486" i="3" a="1"/>
  <c r="E486" i="3" l="1"/>
  <c r="E487" i="3" a="1"/>
  <c r="E487" i="3" l="1"/>
  <c r="E488" i="3" a="1"/>
  <c r="E488" i="3" l="1"/>
  <c r="E489" i="3" a="1"/>
  <c r="E489" i="3" l="1"/>
  <c r="E490" i="3" a="1"/>
  <c r="E490" i="3" l="1"/>
  <c r="E491" i="3" a="1"/>
  <c r="E491" i="3" l="1"/>
  <c r="E492" i="3" a="1"/>
  <c r="E492" i="3" l="1"/>
  <c r="E493" i="3" a="1"/>
  <c r="E493" i="3" l="1"/>
  <c r="E494" i="3" a="1"/>
  <c r="E494" i="3" l="1"/>
  <c r="E495" i="3" a="1"/>
  <c r="E495" i="3" l="1"/>
  <c r="E496" i="3" a="1"/>
  <c r="E496" i="3" l="1"/>
  <c r="E497" i="3" a="1"/>
  <c r="E497" i="3" l="1"/>
  <c r="E498" i="3" a="1"/>
  <c r="E498" i="3" l="1"/>
  <c r="E499" i="3" a="1"/>
  <c r="E499" i="3" l="1"/>
  <c r="E500" i="3" a="1"/>
  <c r="E500" i="3" l="1"/>
  <c r="E501" i="3" a="1"/>
  <c r="E501" i="3" l="1"/>
  <c r="E502" i="3" a="1"/>
  <c r="E502" i="3" l="1"/>
  <c r="E503" i="3" a="1"/>
  <c r="E503" i="3" l="1"/>
  <c r="E504" i="3" a="1"/>
  <c r="E504" i="3" l="1"/>
  <c r="E505" i="3" a="1"/>
  <c r="E505" i="3" l="1"/>
  <c r="E506" i="3" a="1"/>
  <c r="E506" i="3" l="1"/>
  <c r="E507" i="3" a="1"/>
  <c r="E507" i="3" l="1"/>
  <c r="E508" i="3" a="1"/>
  <c r="E508" i="3" l="1"/>
  <c r="E509" i="3" a="1"/>
  <c r="E509" i="3" l="1"/>
  <c r="E510" i="3" a="1"/>
  <c r="E510" i="3" l="1"/>
  <c r="E511" i="3" a="1"/>
  <c r="E511" i="3" l="1"/>
  <c r="E512" i="3" a="1"/>
  <c r="E512" i="3" l="1"/>
  <c r="E513" i="3" a="1"/>
  <c r="E513" i="3" l="1"/>
  <c r="E514" i="3" a="1"/>
  <c r="E514" i="3" l="1"/>
  <c r="E515" i="3" a="1"/>
  <c r="E515" i="3" l="1"/>
  <c r="E516" i="3" a="1"/>
  <c r="E516" i="3" l="1"/>
  <c r="E517" i="3" a="1"/>
  <c r="E517" i="3" l="1"/>
  <c r="E518" i="3" a="1"/>
  <c r="E518" i="3" l="1"/>
  <c r="E519" i="3" a="1"/>
  <c r="E519" i="3" l="1"/>
  <c r="E520" i="3" a="1"/>
  <c r="E520" i="3" l="1"/>
  <c r="E521" i="3" a="1"/>
  <c r="E521" i="3" l="1"/>
  <c r="E522" i="3" a="1"/>
  <c r="E522" i="3" l="1"/>
  <c r="E523" i="3" a="1"/>
  <c r="E523" i="3" l="1"/>
  <c r="E524" i="3" a="1"/>
  <c r="E524" i="3" l="1"/>
  <c r="E525" i="3" a="1"/>
  <c r="E525" i="3" l="1"/>
  <c r="E526" i="3" a="1"/>
  <c r="E526" i="3" l="1"/>
  <c r="E527" i="3" a="1"/>
  <c r="E527" i="3" l="1"/>
  <c r="E528" i="3" a="1"/>
  <c r="E528" i="3" l="1"/>
  <c r="E529" i="3" a="1"/>
  <c r="E529" i="3" l="1"/>
  <c r="E530" i="3" a="1"/>
  <c r="E530" i="3" l="1"/>
  <c r="E531" i="3" a="1"/>
  <c r="E531" i="3" l="1"/>
  <c r="E532" i="3" a="1"/>
  <c r="E532" i="3" l="1"/>
  <c r="E533" i="3" a="1"/>
  <c r="E533" i="3" l="1"/>
  <c r="E534" i="3" a="1"/>
  <c r="E534" i="3" l="1"/>
  <c r="E535" i="3" a="1"/>
  <c r="E535" i="3" l="1"/>
  <c r="E536" i="3" a="1"/>
  <c r="E536" i="3" l="1"/>
  <c r="E537" i="3" a="1"/>
  <c r="E537" i="3" l="1"/>
  <c r="E538" i="3" a="1"/>
  <c r="E538" i="3" l="1"/>
  <c r="E539" i="3" a="1"/>
  <c r="E539" i="3" l="1"/>
  <c r="E540" i="3" a="1"/>
  <c r="E540" i="3" l="1"/>
  <c r="E541" i="3" a="1"/>
  <c r="E541" i="3" l="1"/>
  <c r="E542" i="3" a="1"/>
  <c r="E542" i="3" l="1"/>
  <c r="E543" i="3" a="1"/>
  <c r="E543" i="3" l="1"/>
  <c r="E544" i="3" a="1"/>
  <c r="E544" i="3" l="1"/>
  <c r="E545" i="3" a="1"/>
  <c r="E545" i="3" l="1"/>
  <c r="E546" i="3" a="1"/>
  <c r="E546" i="3" l="1"/>
  <c r="E547" i="3" a="1"/>
  <c r="E547" i="3" l="1"/>
  <c r="E548" i="3" a="1"/>
  <c r="E548" i="3" l="1"/>
  <c r="E549" i="3" a="1"/>
  <c r="E549" i="3" l="1"/>
  <c r="E550" i="3" a="1"/>
  <c r="E550" i="3" l="1"/>
  <c r="E551" i="3" a="1"/>
  <c r="E551" i="3" l="1"/>
  <c r="E552" i="3" a="1"/>
  <c r="E552" i="3" l="1"/>
  <c r="E553" i="3" a="1"/>
  <c r="E553" i="3" l="1"/>
  <c r="E554" i="3" a="1"/>
  <c r="E554" i="3" l="1"/>
  <c r="E555" i="3" a="1"/>
  <c r="E555" i="3" l="1"/>
  <c r="E556" i="3" a="1"/>
  <c r="E556" i="3" l="1"/>
  <c r="E557" i="3" a="1"/>
  <c r="E557" i="3" l="1"/>
  <c r="E558" i="3" a="1"/>
  <c r="E558" i="3" l="1"/>
  <c r="E559" i="3" a="1"/>
  <c r="E559" i="3" l="1"/>
  <c r="E560" i="3" a="1"/>
  <c r="E560" i="3" l="1"/>
  <c r="E561" i="3" a="1"/>
  <c r="E561" i="3" l="1"/>
  <c r="E562" i="3" a="1"/>
  <c r="E562" i="3" l="1"/>
  <c r="E563" i="3" a="1"/>
  <c r="E563" i="3" l="1"/>
  <c r="E564" i="3" a="1"/>
  <c r="E564" i="3" l="1"/>
  <c r="E565" i="3" a="1"/>
  <c r="E565" i="3" l="1"/>
  <c r="E566" i="3" a="1"/>
  <c r="E566" i="3" l="1"/>
  <c r="E567" i="3" a="1"/>
  <c r="E567" i="3" l="1"/>
  <c r="E568" i="3" a="1"/>
  <c r="E568" i="3" l="1"/>
  <c r="E569" i="3" a="1"/>
  <c r="E569" i="3" l="1"/>
  <c r="E570" i="3" a="1"/>
  <c r="E570" i="3" l="1"/>
  <c r="E571" i="3" a="1"/>
  <c r="E571" i="3" l="1"/>
  <c r="E572" i="3" a="1"/>
  <c r="E572" i="3" l="1"/>
  <c r="E573" i="3" a="1"/>
  <c r="E573" i="3" l="1"/>
  <c r="E574" i="3" a="1"/>
  <c r="E574" i="3" l="1"/>
  <c r="E575" i="3" a="1"/>
  <c r="E575" i="3" l="1"/>
  <c r="E576" i="3" a="1"/>
  <c r="E576" i="3" l="1"/>
  <c r="E577" i="3" a="1"/>
  <c r="E577" i="3" l="1"/>
  <c r="E578" i="3" a="1"/>
  <c r="E578" i="3" l="1"/>
  <c r="E579" i="3" a="1"/>
  <c r="E579" i="3" l="1"/>
  <c r="E580" i="3" a="1"/>
  <c r="E580" i="3" l="1"/>
  <c r="E581" i="3" a="1"/>
  <c r="E581" i="3" l="1"/>
  <c r="E582" i="3" a="1"/>
  <c r="E582" i="3" l="1"/>
  <c r="E583" i="3" a="1"/>
  <c r="E583" i="3" l="1"/>
  <c r="E584" i="3" a="1"/>
  <c r="E584" i="3" l="1"/>
  <c r="E585" i="3" a="1"/>
  <c r="E585" i="3" l="1"/>
  <c r="E586" i="3" a="1"/>
  <c r="E586" i="3" l="1"/>
  <c r="E587" i="3" a="1"/>
  <c r="E587" i="3" l="1"/>
  <c r="E588" i="3" a="1"/>
  <c r="E588" i="3" l="1"/>
  <c r="E589" i="3" a="1"/>
  <c r="E589" i="3" l="1"/>
  <c r="E590" i="3" a="1"/>
  <c r="E590" i="3" l="1"/>
  <c r="E591" i="3" a="1"/>
  <c r="E591" i="3" l="1"/>
  <c r="E592" i="3" a="1"/>
  <c r="E592" i="3" l="1"/>
  <c r="E593" i="3" a="1"/>
  <c r="E593" i="3" l="1"/>
  <c r="E594" i="3" a="1"/>
  <c r="E594" i="3" l="1"/>
  <c r="E595" i="3" a="1"/>
  <c r="E595" i="3" l="1"/>
  <c r="E596" i="3" a="1"/>
  <c r="E596" i="3" l="1"/>
  <c r="E597" i="3" a="1"/>
  <c r="E597" i="3" l="1"/>
  <c r="E598" i="3" a="1"/>
  <c r="E598" i="3" l="1"/>
  <c r="E599" i="3" a="1"/>
  <c r="E599" i="3" l="1"/>
  <c r="E600" i="3" a="1"/>
  <c r="E600" i="3" l="1"/>
  <c r="E601" i="3" a="1"/>
  <c r="E601" i="3" l="1"/>
  <c r="E602" i="3" a="1"/>
  <c r="E602" i="3" l="1"/>
  <c r="E603" i="3" a="1"/>
  <c r="E603" i="3" l="1"/>
  <c r="E604" i="3" a="1"/>
  <c r="E604" i="3" l="1"/>
  <c r="E605" i="3" a="1"/>
  <c r="E605" i="3" l="1"/>
  <c r="E606" i="3" a="1"/>
  <c r="E606" i="3" l="1"/>
  <c r="E607" i="3" a="1"/>
  <c r="E607" i="3" l="1"/>
  <c r="E608" i="3" a="1"/>
  <c r="E608" i="3" l="1"/>
  <c r="E609" i="3" a="1"/>
  <c r="E609" i="3" l="1"/>
  <c r="E610" i="3" a="1"/>
  <c r="E610" i="3" l="1"/>
  <c r="E611" i="3" a="1"/>
  <c r="E611" i="3" l="1"/>
  <c r="E612" i="3" a="1"/>
  <c r="E612" i="3" l="1"/>
  <c r="E613" i="3" a="1"/>
  <c r="E613" i="3" l="1"/>
  <c r="E614" i="3" a="1"/>
  <c r="E614" i="3" l="1"/>
  <c r="E615" i="3" a="1"/>
  <c r="E615" i="3" l="1"/>
  <c r="E616" i="3" a="1"/>
  <c r="E616" i="3" l="1"/>
  <c r="F2" i="3" l="1"/>
  <c r="F3" i="3"/>
  <c r="F4" i="3"/>
  <c r="F5" i="3"/>
  <c r="F7" i="3"/>
  <c r="F6" i="3"/>
  <c r="F8" i="3"/>
  <c r="F10" i="3"/>
  <c r="F9" i="3"/>
  <c r="F11" i="3"/>
  <c r="F380" i="3"/>
  <c r="F22" i="3"/>
  <c r="F411" i="3"/>
  <c r="F281" i="3"/>
  <c r="F189" i="3"/>
  <c r="F268" i="3"/>
  <c r="F545" i="3"/>
  <c r="F563" i="3"/>
  <c r="F280" i="3"/>
  <c r="F41" i="3"/>
  <c r="F550" i="3"/>
  <c r="F322" i="3"/>
  <c r="F234" i="3"/>
  <c r="F55" i="3"/>
  <c r="F466" i="3"/>
  <c r="F163" i="3"/>
  <c r="F417" i="3"/>
  <c r="F547" i="3"/>
  <c r="F112" i="3"/>
  <c r="F462" i="3"/>
  <c r="F394" i="3"/>
  <c r="F267" i="3"/>
  <c r="F260" i="3"/>
  <c r="F492" i="3"/>
  <c r="F601" i="3"/>
  <c r="F109" i="3"/>
  <c r="F412" i="3"/>
  <c r="F271" i="3"/>
  <c r="F504" i="3"/>
  <c r="F337" i="3"/>
  <c r="F132" i="3"/>
  <c r="F313" i="3"/>
  <c r="F557" i="3"/>
  <c r="F419" i="3"/>
  <c r="F432" i="3"/>
  <c r="F388" i="3"/>
  <c r="F427" i="3"/>
  <c r="F170" i="3"/>
  <c r="F347" i="3"/>
  <c r="F43" i="3"/>
  <c r="F510" i="3"/>
  <c r="F168" i="3"/>
  <c r="F371" i="3"/>
  <c r="F615" i="3"/>
  <c r="F300" i="3"/>
  <c r="F507" i="3"/>
  <c r="F344" i="3"/>
  <c r="F102" i="3"/>
  <c r="F506" i="3"/>
  <c r="F287" i="3"/>
  <c r="F357" i="3"/>
  <c r="F28" i="3"/>
  <c r="F484" i="3"/>
  <c r="F534" i="3"/>
  <c r="F520" i="3"/>
  <c r="F324" i="3"/>
  <c r="F319" i="3"/>
  <c r="F415" i="3"/>
  <c r="F110" i="3"/>
  <c r="F235" i="3"/>
  <c r="F71" i="3"/>
  <c r="F291" i="3"/>
  <c r="F20" i="3"/>
  <c r="F228" i="3"/>
  <c r="F37" i="3"/>
  <c r="F167" i="3"/>
  <c r="F549" i="3"/>
  <c r="F375" i="3"/>
  <c r="F246" i="3"/>
  <c r="F75" i="3"/>
  <c r="F116" i="3"/>
  <c r="F225" i="3"/>
  <c r="F383" i="3"/>
  <c r="F59" i="3"/>
  <c r="F279" i="3"/>
  <c r="F58" i="3"/>
  <c r="F208" i="3"/>
  <c r="F249" i="3"/>
  <c r="F378" i="3"/>
  <c r="F19" i="3"/>
  <c r="F91" i="3"/>
  <c r="F525" i="3"/>
  <c r="F295" i="3"/>
  <c r="F405" i="3"/>
  <c r="F191" i="3"/>
  <c r="F486" i="3"/>
  <c r="F214" i="3"/>
  <c r="F312" i="3"/>
  <c r="F215" i="3"/>
  <c r="F377" i="3"/>
  <c r="F574" i="3"/>
  <c r="F463" i="3"/>
  <c r="F616" i="3"/>
  <c r="F290" i="3"/>
  <c r="F127" i="3"/>
  <c r="F519" i="3"/>
  <c r="F570" i="3"/>
  <c r="F487" i="3"/>
  <c r="F31" i="3"/>
  <c r="F606" i="3"/>
  <c r="F396" i="3"/>
  <c r="F401" i="3"/>
  <c r="F90" i="3"/>
  <c r="F409" i="3"/>
  <c r="F612" i="3"/>
  <c r="F238" i="3"/>
  <c r="F349" i="3"/>
  <c r="F329" i="3"/>
  <c r="F198" i="3"/>
  <c r="F53" i="3"/>
  <c r="F474" i="3"/>
  <c r="F565" i="3"/>
  <c r="F326" i="3"/>
  <c r="F316" i="3"/>
  <c r="F298" i="3"/>
  <c r="F177" i="3"/>
  <c r="F564" i="3"/>
  <c r="F29" i="3"/>
  <c r="F226" i="3"/>
  <c r="F478" i="3"/>
  <c r="F317" i="3"/>
  <c r="F24" i="3"/>
  <c r="F27" i="3"/>
  <c r="F384" i="3"/>
  <c r="F45" i="3"/>
  <c r="F352" i="3"/>
  <c r="F330" i="3"/>
  <c r="F477" i="3"/>
  <c r="F183" i="3"/>
  <c r="F566" i="3"/>
  <c r="F255" i="3"/>
  <c r="F490" i="3"/>
  <c r="F423" i="3"/>
  <c r="F54" i="3"/>
  <c r="F65" i="3"/>
  <c r="F204" i="3"/>
  <c r="F141" i="3"/>
  <c r="F353" i="3"/>
  <c r="F381" i="3"/>
  <c r="F147" i="3"/>
  <c r="F572" i="3"/>
  <c r="F159" i="3"/>
  <c r="F254" i="3"/>
  <c r="F372" i="3"/>
  <c r="F461" i="3"/>
  <c r="F51" i="3"/>
  <c r="F528" i="3"/>
  <c r="F369" i="3"/>
  <c r="F465" i="3"/>
  <c r="F447" i="3"/>
  <c r="F542" i="3"/>
  <c r="F469" i="3"/>
  <c r="F529" i="3"/>
  <c r="F158" i="3"/>
  <c r="F169" i="3"/>
  <c r="F230" i="3"/>
  <c r="F361" i="3"/>
  <c r="F418" i="3"/>
  <c r="F501" i="3"/>
  <c r="F598" i="3"/>
  <c r="F148" i="3"/>
  <c r="F593" i="3"/>
  <c r="F283" i="3"/>
  <c r="F266" i="3"/>
  <c r="F403" i="3"/>
  <c r="F459" i="3"/>
  <c r="F120" i="3"/>
  <c r="F164" i="3"/>
  <c r="F52" i="3"/>
  <c r="F607" i="3"/>
  <c r="F597" i="3"/>
  <c r="F554" i="3"/>
  <c r="F115" i="3"/>
  <c r="F395" i="3"/>
  <c r="F217" i="3"/>
  <c r="F526" i="3"/>
  <c r="F239" i="3"/>
  <c r="F243" i="3"/>
  <c r="F571" i="3"/>
  <c r="F500" i="3"/>
  <c r="F397" i="3"/>
  <c r="F532" i="3"/>
  <c r="F212" i="3"/>
  <c r="F368" i="3"/>
  <c r="F74" i="3"/>
  <c r="F150" i="3"/>
  <c r="F310" i="3"/>
  <c r="F449" i="3"/>
  <c r="F438" i="3"/>
  <c r="F386" i="3"/>
  <c r="F559" i="3"/>
  <c r="F178" i="3"/>
  <c r="F489" i="3"/>
  <c r="F382" i="3"/>
  <c r="F424" i="3"/>
  <c r="F306" i="3"/>
  <c r="F406" i="3"/>
  <c r="F131" i="3"/>
  <c r="F359" i="3"/>
  <c r="F94" i="3"/>
  <c r="F537" i="3"/>
  <c r="F236" i="3"/>
  <c r="F144" i="3"/>
  <c r="F338" i="3"/>
  <c r="F87" i="3"/>
  <c r="F439" i="3"/>
  <c r="F514" i="3"/>
  <c r="F538" i="3"/>
  <c r="F284" i="3"/>
  <c r="F162" i="3"/>
  <c r="F443" i="3"/>
  <c r="F68" i="3"/>
  <c r="F25" i="3"/>
  <c r="F253" i="3"/>
  <c r="F263" i="3"/>
  <c r="F516" i="3"/>
  <c r="F78" i="3"/>
  <c r="F39" i="3"/>
  <c r="F437" i="3"/>
  <c r="F143" i="3"/>
  <c r="F336" i="3"/>
  <c r="F133" i="3"/>
  <c r="F553" i="3"/>
  <c r="F511" i="3"/>
  <c r="F560" i="3"/>
  <c r="F192" i="3"/>
  <c r="F425" i="3"/>
  <c r="F139" i="3"/>
  <c r="F576" i="3"/>
  <c r="F161" i="3"/>
  <c r="F32" i="3"/>
  <c r="F343" i="3"/>
  <c r="F515" i="3"/>
  <c r="F76" i="3"/>
  <c r="F118" i="3"/>
  <c r="F585" i="3"/>
  <c r="F232" i="3"/>
  <c r="F296" i="3"/>
  <c r="F207" i="3"/>
  <c r="F611" i="3"/>
  <c r="F194" i="3"/>
  <c r="F160" i="3"/>
  <c r="F220" i="3"/>
  <c r="F472" i="3"/>
  <c r="F613" i="3"/>
  <c r="F400" i="3"/>
  <c r="F434" i="3"/>
  <c r="F558" i="3"/>
  <c r="F339" i="3"/>
  <c r="F82" i="3"/>
  <c r="F464" i="3"/>
  <c r="F125" i="3"/>
  <c r="F366" i="3"/>
  <c r="F156" i="3"/>
  <c r="F129" i="3"/>
  <c r="F475" i="3"/>
  <c r="F135" i="3"/>
  <c r="F174" i="3"/>
  <c r="F21" i="3"/>
  <c r="F362" i="3"/>
  <c r="F181" i="3"/>
  <c r="F334" i="3"/>
  <c r="F548" i="3"/>
  <c r="F134" i="3"/>
  <c r="F513" i="3"/>
  <c r="F544" i="3"/>
  <c r="F69" i="3"/>
  <c r="F210" i="3"/>
  <c r="F499" i="3"/>
  <c r="F471" i="3"/>
  <c r="F569" i="3"/>
  <c r="F242" i="3"/>
  <c r="F104" i="3"/>
  <c r="F467" i="3"/>
  <c r="F247" i="3"/>
  <c r="F197" i="3"/>
  <c r="F392" i="3"/>
  <c r="F341" i="3"/>
  <c r="F240" i="3"/>
  <c r="F494" i="3"/>
  <c r="F261" i="3"/>
  <c r="F152" i="3"/>
  <c r="F527" i="3"/>
  <c r="F180" i="3"/>
  <c r="F351" i="3"/>
  <c r="F470" i="3"/>
  <c r="F348" i="3"/>
  <c r="F237" i="3"/>
  <c r="F555" i="3"/>
  <c r="F172" i="3"/>
  <c r="F185" i="3"/>
  <c r="F596" i="3"/>
  <c r="F398" i="3"/>
  <c r="F473" i="3"/>
  <c r="F278" i="3"/>
  <c r="F155" i="3"/>
  <c r="F248" i="3"/>
  <c r="F546" i="3"/>
  <c r="F328" i="3"/>
  <c r="F376" i="3"/>
  <c r="F108" i="3"/>
  <c r="F256" i="3"/>
  <c r="F476" i="3"/>
  <c r="F350" i="3"/>
  <c r="F602" i="3"/>
  <c r="F561" i="3"/>
  <c r="F301" i="3"/>
  <c r="F146" i="3"/>
  <c r="F385" i="3"/>
  <c r="F327" i="3"/>
  <c r="F15" i="3"/>
  <c r="F62" i="3"/>
  <c r="F99" i="3"/>
  <c r="F460" i="3"/>
  <c r="F518" i="3"/>
  <c r="F83" i="3"/>
  <c r="F609" i="3"/>
  <c r="F165" i="3"/>
  <c r="F314" i="3"/>
  <c r="F573" i="3"/>
  <c r="F93" i="3"/>
  <c r="F297" i="3"/>
  <c r="F285" i="3"/>
  <c r="F323" i="3"/>
  <c r="F433" i="3"/>
  <c r="F205" i="3"/>
  <c r="F404" i="3"/>
  <c r="F193" i="3"/>
  <c r="F321" i="3"/>
  <c r="F187" i="3"/>
  <c r="F410" i="3"/>
  <c r="F426" i="3"/>
  <c r="F496" i="3"/>
  <c r="F289" i="3"/>
  <c r="F450" i="3"/>
  <c r="F451" i="3"/>
  <c r="F270" i="3"/>
  <c r="F391" i="3"/>
  <c r="F17" i="3"/>
  <c r="F218" i="3"/>
  <c r="F103" i="3"/>
  <c r="F121" i="3"/>
  <c r="F318" i="3"/>
  <c r="F84" i="3"/>
  <c r="F85" i="3"/>
  <c r="F81" i="3"/>
  <c r="F154" i="3"/>
  <c r="F393" i="3"/>
  <c r="F157" i="3"/>
  <c r="F455" i="3"/>
  <c r="F453" i="3"/>
  <c r="F603" i="3"/>
  <c r="F590" i="3"/>
  <c r="F407" i="3"/>
  <c r="F63" i="3"/>
  <c r="F136" i="3"/>
  <c r="F373" i="3"/>
  <c r="F358" i="3"/>
  <c r="F562" i="3"/>
  <c r="F23" i="3"/>
  <c r="F580" i="3"/>
  <c r="F122" i="3"/>
  <c r="F440" i="3"/>
  <c r="F588" i="3"/>
  <c r="F244" i="3"/>
  <c r="F584" i="3"/>
  <c r="F258" i="3"/>
  <c r="F26" i="3"/>
  <c r="F33" i="3"/>
  <c r="F101" i="3"/>
  <c r="F448" i="3"/>
  <c r="F277" i="3"/>
  <c r="F320" i="3"/>
  <c r="F586" i="3"/>
  <c r="F245" i="3"/>
  <c r="F57" i="3"/>
  <c r="F61" i="3"/>
  <c r="F299" i="3"/>
  <c r="F342" i="3"/>
  <c r="F86" i="3"/>
  <c r="F153" i="3"/>
  <c r="F413" i="3"/>
  <c r="F46" i="3"/>
  <c r="F610" i="3"/>
  <c r="F345" i="3"/>
  <c r="F485" i="3"/>
  <c r="F340" i="3"/>
  <c r="F416" i="3"/>
  <c r="F175" i="3"/>
  <c r="F600" i="3"/>
  <c r="F517" i="3"/>
  <c r="F446" i="3"/>
  <c r="F199" i="3"/>
  <c r="F105" i="3"/>
  <c r="F480" i="3"/>
  <c r="F540" i="3"/>
  <c r="F294" i="3"/>
  <c r="F117" i="3"/>
  <c r="F431" i="3"/>
  <c r="F190" i="3"/>
  <c r="F578" i="3"/>
  <c r="F444" i="3"/>
  <c r="F98" i="3"/>
  <c r="F311" i="3"/>
  <c r="F70" i="3"/>
  <c r="F42" i="3"/>
  <c r="F124" i="3"/>
  <c r="F269" i="3"/>
  <c r="F224" i="3"/>
  <c r="F522" i="3"/>
  <c r="F259" i="3"/>
  <c r="F325" i="3"/>
  <c r="F523" i="3"/>
  <c r="F107" i="3"/>
  <c r="F222" i="3"/>
  <c r="F257" i="3"/>
  <c r="F479" i="3"/>
  <c r="F186" i="3"/>
  <c r="F288" i="3"/>
  <c r="F282" i="3"/>
  <c r="F182" i="3"/>
  <c r="F123" i="3"/>
  <c r="F264" i="3"/>
  <c r="F227" i="3"/>
  <c r="F363" i="3"/>
  <c r="F445" i="3"/>
  <c r="F307" i="3"/>
  <c r="F200" i="3"/>
  <c r="F346" i="3"/>
  <c r="F201" i="3"/>
  <c r="F365" i="3"/>
  <c r="F420" i="3"/>
  <c r="F251" i="3"/>
  <c r="F56" i="3"/>
  <c r="F581" i="3"/>
  <c r="F302" i="3"/>
  <c r="F274" i="3"/>
  <c r="F436" i="3"/>
  <c r="F137" i="3"/>
  <c r="F483" i="3"/>
  <c r="F594" i="3"/>
  <c r="F213" i="3"/>
  <c r="F66" i="3"/>
  <c r="F106" i="3"/>
  <c r="F196" i="3"/>
  <c r="F575" i="3"/>
  <c r="F379" i="3"/>
  <c r="F452" i="3"/>
  <c r="F512" i="3"/>
  <c r="F211" i="3"/>
  <c r="F273" i="3"/>
  <c r="F428" i="3"/>
  <c r="F44" i="3"/>
  <c r="F173" i="3"/>
  <c r="F275" i="3"/>
  <c r="F605" i="3"/>
  <c r="F113" i="3"/>
  <c r="F97" i="3"/>
  <c r="F60" i="3"/>
  <c r="F583" i="3"/>
  <c r="F493" i="3"/>
  <c r="F567" i="3"/>
  <c r="F582" i="3"/>
  <c r="F30" i="3"/>
  <c r="F209" i="3"/>
  <c r="F421" i="3"/>
  <c r="F356" i="3"/>
  <c r="F509" i="3"/>
  <c r="F491" i="3"/>
  <c r="F130" i="3"/>
  <c r="F293" i="3"/>
  <c r="F140" i="3"/>
  <c r="F308" i="3"/>
  <c r="F47" i="3"/>
  <c r="F72" i="3"/>
  <c r="F543" i="3"/>
  <c r="F67" i="3"/>
  <c r="F332" i="3"/>
  <c r="F524" i="3"/>
  <c r="F79" i="3"/>
  <c r="F556" i="3"/>
  <c r="F442" i="3"/>
  <c r="F370" i="3"/>
  <c r="F387" i="3"/>
  <c r="F38" i="3"/>
  <c r="F535" i="3"/>
  <c r="F176" i="3"/>
  <c r="F591" i="3"/>
  <c r="F142" i="3"/>
  <c r="F552" i="3"/>
  <c r="F367" i="3"/>
  <c r="F35" i="3"/>
  <c r="F331" i="3"/>
  <c r="F223" i="3"/>
  <c r="F80" i="3"/>
  <c r="F354" i="3"/>
  <c r="F589" i="3"/>
  <c r="F488" i="3"/>
  <c r="F64" i="3"/>
  <c r="F508" i="3"/>
  <c r="F531" i="3"/>
  <c r="F521" i="3"/>
  <c r="F36" i="3"/>
  <c r="F286" i="3"/>
  <c r="F333" i="3"/>
  <c r="F50" i="3"/>
  <c r="F430" i="3"/>
  <c r="F111" i="3"/>
  <c r="F530" i="3"/>
  <c r="F276" i="3"/>
  <c r="F206" i="3"/>
  <c r="F468" i="3"/>
  <c r="F231" i="3"/>
  <c r="F203" i="3"/>
  <c r="F151" i="3"/>
  <c r="F96" i="3"/>
  <c r="F315" i="3"/>
  <c r="F221" i="3"/>
  <c r="F34" i="3"/>
  <c r="F100" i="3"/>
  <c r="F184" i="3"/>
  <c r="F441" i="3"/>
  <c r="F252" i="3"/>
  <c r="F390" i="3"/>
  <c r="F128" i="3"/>
  <c r="F456" i="3"/>
  <c r="F533" i="3"/>
  <c r="F497" i="3"/>
  <c r="F408" i="3"/>
  <c r="F166" i="3"/>
  <c r="F422" i="3"/>
  <c r="F262" i="3"/>
  <c r="F536" i="3"/>
  <c r="F481" i="3"/>
  <c r="F482" i="3"/>
  <c r="F14" i="3"/>
  <c r="F498" i="3"/>
  <c r="F233" i="3"/>
  <c r="F495" i="3"/>
  <c r="F89" i="3"/>
  <c r="F229" i="3"/>
  <c r="F48" i="3"/>
  <c r="F304" i="3"/>
  <c r="F502" i="3"/>
  <c r="F73" i="3"/>
  <c r="F95" i="3"/>
  <c r="F265" i="3"/>
  <c r="F309" i="3"/>
  <c r="F360" i="3"/>
  <c r="F145" i="3"/>
  <c r="F272" i="3"/>
  <c r="F454" i="3"/>
  <c r="F49" i="3"/>
  <c r="F292" i="3"/>
  <c r="F119" i="3"/>
  <c r="F399" i="3"/>
  <c r="F188" i="3"/>
  <c r="F568" i="3"/>
  <c r="F374" i="3"/>
  <c r="F179" i="3"/>
  <c r="F12" i="3"/>
  <c r="F219" i="3"/>
  <c r="F541" i="3"/>
  <c r="F88" i="3"/>
  <c r="F435" i="3"/>
  <c r="F241" i="3"/>
  <c r="F389" i="3"/>
  <c r="F414" i="3"/>
  <c r="F429" i="3"/>
  <c r="F114" i="3"/>
  <c r="F457" i="3"/>
  <c r="F579" i="3"/>
  <c r="F335" i="3"/>
  <c r="F303" i="3"/>
  <c r="F40" i="3"/>
  <c r="F195" i="3"/>
  <c r="F608" i="3"/>
  <c r="F577" i="3"/>
  <c r="F16" i="3"/>
  <c r="F599" i="3"/>
  <c r="F305" i="3"/>
  <c r="F604" i="3"/>
  <c r="F614" i="3"/>
  <c r="F355" i="3"/>
  <c r="F402" i="3"/>
  <c r="F171" i="3"/>
  <c r="F92" i="3"/>
  <c r="F364" i="3"/>
  <c r="F149" i="3"/>
  <c r="F458" i="3"/>
  <c r="F595" i="3"/>
  <c r="F250" i="3"/>
  <c r="F592" i="3"/>
  <c r="F138" i="3"/>
  <c r="F505" i="3"/>
  <c r="F18" i="3"/>
  <c r="F77" i="3"/>
  <c r="F539" i="3"/>
  <c r="F13" i="3"/>
  <c r="F202" i="3"/>
  <c r="F503" i="3"/>
  <c r="F216" i="3"/>
  <c r="F551" i="3"/>
  <c r="F587" i="3"/>
  <c r="F12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7E89C2-0B5D-4DBE-B61E-DF4C5E1A4439}" keepAlive="1" name="Query - hourlyData" description="Connection to the 'hourlyData' query in the workbook." type="5" refreshedVersion="8" background="1" saveData="1">
    <dbPr connection="Provider=Microsoft.Mashup.OleDb.1;Data Source=$Workbook$;Location=hourlyData;Extended Properties=&quot;&quot;" command="SELECT * FROM [hourlyData]"/>
  </connection>
  <connection id="2" xr16:uid="{12752FEE-80AE-45DA-B69C-D7F2DA297C62}" keepAlive="1" name="Query - TagData" description="Connection to the 'TagData' query in the workbook." type="5" refreshedVersion="8" background="1" saveData="1">
    <dbPr connection="Provider=Microsoft.Mashup.OleDb.1;Data Source=$Workbook$;Location=TagData;Extended Properties=&quot;&quot;" command="SELECT * FROM [TagData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<sst xmlns="http://schemas.openxmlformats.org/spreadsheetml/2006/main" count="1245" uniqueCount="575">
  <si>
    <t>Description</t>
  </si>
  <si>
    <t>DateTime</t>
  </si>
  <si>
    <t>TIC36620</t>
  </si>
  <si>
    <t xml:space="preserve"> Temp of PHO from E36618 to C36611</t>
  </si>
  <si>
    <t>Tag Name</t>
  </si>
  <si>
    <t>TagKey</t>
  </si>
  <si>
    <t>TagName</t>
  </si>
  <si>
    <t>FIC36612</t>
  </si>
  <si>
    <t xml:space="preserve"> Flow control from E36610 to C36611 </t>
  </si>
  <si>
    <t>TIC36611</t>
  </si>
  <si>
    <t>Temp Control from E36610 to C36119</t>
  </si>
  <si>
    <t>TIC36607</t>
  </si>
  <si>
    <t xml:space="preserve"> Temp of ODCB Pri Cooler E36609 </t>
  </si>
  <si>
    <t xml:space="preserve"> Temp control of Pri CoolerE36609 </t>
  </si>
  <si>
    <t>TI36662</t>
  </si>
  <si>
    <t xml:space="preserve"> Temp WCR from Pri Cooler E36609</t>
  </si>
  <si>
    <t>TI36663</t>
  </si>
  <si>
    <t xml:space="preserve"> Temp RFR from Sec cooler E36610</t>
  </si>
  <si>
    <t>JI36644</t>
  </si>
  <si>
    <t>Current of Recycle Phos Feed P36614</t>
  </si>
  <si>
    <t>TI36655</t>
  </si>
  <si>
    <t xml:space="preserve"> Temp of PHO Feed Pump P36614</t>
  </si>
  <si>
    <t>PI36648</t>
  </si>
  <si>
    <t xml:space="preserve"> Discharge Pressure of P36614 </t>
  </si>
  <si>
    <t>JI36626</t>
  </si>
  <si>
    <t>Current of Absorber Pump P36612</t>
  </si>
  <si>
    <t>TI36654</t>
  </si>
  <si>
    <t xml:space="preserve"> Temp of Absorber Pump P36612</t>
  </si>
  <si>
    <t>FI36623</t>
  </si>
  <si>
    <t xml:space="preserve"> Flow from E36613 to C36611</t>
  </si>
  <si>
    <t>TI36622</t>
  </si>
  <si>
    <t xml:space="preserve"> Temp from E36613 to C36611 </t>
  </si>
  <si>
    <t>JI36624</t>
  </si>
  <si>
    <t>Current of Intermediate  pump P36619</t>
  </si>
  <si>
    <t>TI36653</t>
  </si>
  <si>
    <t xml:space="preserve"> Temp of Intermidiate Pump P36619</t>
  </si>
  <si>
    <t>FI36651</t>
  </si>
  <si>
    <t>Flow from E36618 to 5th Tray C36611</t>
  </si>
  <si>
    <t>TIC36630</t>
  </si>
  <si>
    <t>Temp of PHO Absorber C36611 bottom</t>
  </si>
  <si>
    <t>PIC36631</t>
  </si>
  <si>
    <t>Pressure of PHO Absorber C36611 top</t>
  </si>
  <si>
    <t xml:space="preserve"> Pressure Control of C36611 top </t>
  </si>
  <si>
    <t>PI36642</t>
  </si>
  <si>
    <t xml:space="preserve"> Pressure of C36611 bottom </t>
  </si>
  <si>
    <t>FI36668</t>
  </si>
  <si>
    <t>Flow of HCLG from C36611 to E36616</t>
  </si>
  <si>
    <t>TI36670</t>
  </si>
  <si>
    <t>Temp of HCLG from C36611 to E36616</t>
  </si>
  <si>
    <t>PDI36634</t>
  </si>
  <si>
    <t>Pressure Difference ratio</t>
  </si>
  <si>
    <t>TI36629</t>
  </si>
  <si>
    <t xml:space="preserve"> Temp of 19th Tray C36611  </t>
  </si>
  <si>
    <t xml:space="preserve"> Flow of ODCB from E36610 to C36611</t>
  </si>
  <si>
    <t xml:space="preserve"> Temp ODCB from E36610 to C36119 </t>
  </si>
  <si>
    <t>LIC36641</t>
  </si>
  <si>
    <t xml:space="preserve"> Level control C36611  </t>
  </si>
  <si>
    <t>PI36628</t>
  </si>
  <si>
    <t>Pr Rupt Disc C36611 Top PSE-36601</t>
  </si>
  <si>
    <t>TI36659</t>
  </si>
  <si>
    <t>Temp WCHR from Intr cooler E36618</t>
  </si>
  <si>
    <t>Temp Control from E36618 to C36611</t>
  </si>
  <si>
    <t>Temp Control of C36611 bottom</t>
  </si>
  <si>
    <t>TI36637</t>
  </si>
  <si>
    <t xml:space="preserve"> Temp of 7th Tray C36611  </t>
  </si>
  <si>
    <t>TI36638</t>
  </si>
  <si>
    <t xml:space="preserve"> Temp of 3rd Tray C36611  </t>
  </si>
  <si>
    <t>TI36632</t>
  </si>
  <si>
    <t xml:space="preserve"> Temp of PHO Absorber C36611 top</t>
  </si>
  <si>
    <t>TI36633</t>
  </si>
  <si>
    <t xml:space="preserve"> Temp of 33rd Tray C36611  </t>
  </si>
  <si>
    <t>TI36635</t>
  </si>
  <si>
    <t xml:space="preserve"> Temp of 26th Tray C36611  </t>
  </si>
  <si>
    <t>TIC36674</t>
  </si>
  <si>
    <t xml:space="preserve"> Temp of E36616 O/L to S36617 </t>
  </si>
  <si>
    <t xml:space="preserve"> Temp Control E36616 O/L to S36617 </t>
  </si>
  <si>
    <t>LIC36685A</t>
  </si>
  <si>
    <t xml:space="preserve"> Level of TDI Catch Tank T36622 </t>
  </si>
  <si>
    <t>FI36688</t>
  </si>
  <si>
    <t xml:space="preserve"> Flow of P36624 to S36101 </t>
  </si>
  <si>
    <t>TI37537</t>
  </si>
  <si>
    <t xml:space="preserve"> Temp of Puri. Reboiler Pump P37502</t>
  </si>
  <si>
    <t>TI36683</t>
  </si>
  <si>
    <t xml:space="preserve"> Temp of TDI Catch Tank T36622</t>
  </si>
  <si>
    <t>TIC36686</t>
  </si>
  <si>
    <t xml:space="preserve"> Temp of WC from E36623 O/L</t>
  </si>
  <si>
    <t xml:space="preserve"> Temp Control of WC from E36623 O/L</t>
  </si>
  <si>
    <t>JI37102</t>
  </si>
  <si>
    <t>Current of Pri Reboiler Pump P37102</t>
  </si>
  <si>
    <t>JI37187</t>
  </si>
  <si>
    <t>Current of Pri Reflux Pump P37107</t>
  </si>
  <si>
    <t>JI37155</t>
  </si>
  <si>
    <t>Current of Vent Conden Pump P37111</t>
  </si>
  <si>
    <t>JI37182</t>
  </si>
  <si>
    <t>Current of Recovered ODCB Pump P37113</t>
  </si>
  <si>
    <t>TI37141</t>
  </si>
  <si>
    <t xml:space="preserve"> Temp of C37101 bottem O/L</t>
  </si>
  <si>
    <t>FIC37134</t>
  </si>
  <si>
    <t>Flow SMP to Primary Reboiler E37103</t>
  </si>
  <si>
    <t xml:space="preserve"> Flow Control SMP to E37103</t>
  </si>
  <si>
    <t>LI37123</t>
  </si>
  <si>
    <t>Level Ctrl of Primary ODCB Column C37101</t>
  </si>
  <si>
    <t>FIC37142</t>
  </si>
  <si>
    <t xml:space="preserve"> Flow of bottom draw to C37101</t>
  </si>
  <si>
    <t>PI37122</t>
  </si>
  <si>
    <t xml:space="preserve"> Pressure of  C37101 bottom</t>
  </si>
  <si>
    <t>FI37104</t>
  </si>
  <si>
    <t>Flow ODBC from C37101 to T37112</t>
  </si>
  <si>
    <t>TIC37125</t>
  </si>
  <si>
    <t>Temp of Primary Clmn C37101 bottom</t>
  </si>
  <si>
    <t xml:space="preserve"> Temp Control of C37101 bottom</t>
  </si>
  <si>
    <t>FI37133</t>
  </si>
  <si>
    <t xml:space="preserve"> Flow of Reflux to C37101</t>
  </si>
  <si>
    <t>PDIC37113</t>
  </si>
  <si>
    <t xml:space="preserve"> Diff Pressure Control of C37101</t>
  </si>
  <si>
    <t>TI37114</t>
  </si>
  <si>
    <t xml:space="preserve"> Temp of C37101 top</t>
  </si>
  <si>
    <t>TI37131</t>
  </si>
  <si>
    <t xml:space="preserve"> Temp of C37101 bottom</t>
  </si>
  <si>
    <t>PI37132</t>
  </si>
  <si>
    <t xml:space="preserve"> Pressure of SMP to E37103</t>
  </si>
  <si>
    <t>TI37121</t>
  </si>
  <si>
    <t>Temp betn bed 2 and 3  C37101</t>
  </si>
  <si>
    <t>TI37124</t>
  </si>
  <si>
    <t xml:space="preserve"> Temp of Bed 3 C37101</t>
  </si>
  <si>
    <t>PI37117</t>
  </si>
  <si>
    <t>Pressure betn bed 3 and 4 C37101</t>
  </si>
  <si>
    <t>TI37116</t>
  </si>
  <si>
    <t>Temp betn bed 1and 2  C37101</t>
  </si>
  <si>
    <t>TI37118</t>
  </si>
  <si>
    <t xml:space="preserve"> Temp of bed 2 C37101</t>
  </si>
  <si>
    <t>PI37108</t>
  </si>
  <si>
    <t xml:space="preserve"> Pr of Top of C37101 PSE37101</t>
  </si>
  <si>
    <t>PI37109</t>
  </si>
  <si>
    <t>Pr between bed 1 and 2 in C37101</t>
  </si>
  <si>
    <t>JI37182B</t>
  </si>
  <si>
    <t>Current of recovered ODCB Pump P37113B</t>
  </si>
  <si>
    <t>PI37111</t>
  </si>
  <si>
    <t xml:space="preserve"> Pressure of Overhead  C37111</t>
  </si>
  <si>
    <t>TI37167</t>
  </si>
  <si>
    <t xml:space="preserve"> Temp of Primary Reflux Pump P37107</t>
  </si>
  <si>
    <t>LIC37172</t>
  </si>
  <si>
    <t>Level Control of Reflux Tank T37106</t>
  </si>
  <si>
    <t>TI37170</t>
  </si>
  <si>
    <t xml:space="preserve"> Temp of WH from E37104 </t>
  </si>
  <si>
    <t>TIC37169</t>
  </si>
  <si>
    <t xml:space="preserve"> Temp of Primary Vent E37105 Bottom</t>
  </si>
  <si>
    <t>TI37191</t>
  </si>
  <si>
    <t xml:space="preserve"> Temp of WCHR from E37105</t>
  </si>
  <si>
    <t>TIC37171</t>
  </si>
  <si>
    <t xml:space="preserve"> Temp of Primary Condenser E37104</t>
  </si>
  <si>
    <t xml:space="preserve"> Temp Control For E37104 Bottom</t>
  </si>
  <si>
    <t>TI37162</t>
  </si>
  <si>
    <t xml:space="preserve"> Temp of Vent Condensate P37111</t>
  </si>
  <si>
    <t>FI37150</t>
  </si>
  <si>
    <t xml:space="preserve"> Flow From T37110 to C36201</t>
  </si>
  <si>
    <t>FIC37163</t>
  </si>
  <si>
    <t xml:space="preserve"> Flow From P37107 to C36201</t>
  </si>
  <si>
    <t xml:space="preserve"> Flow Control for P37107 to C36201</t>
  </si>
  <si>
    <t>LIC37160</t>
  </si>
  <si>
    <t>Level of Vent Condensate T37110</t>
  </si>
  <si>
    <t xml:space="preserve"> Level Control of T37110</t>
  </si>
  <si>
    <t>PI37156</t>
  </si>
  <si>
    <t xml:space="preserve"> Pr of Pho Vent Absbr C37109 Top</t>
  </si>
  <si>
    <t>TI37152</t>
  </si>
  <si>
    <t xml:space="preserve"> Temp of Pho Vent Absbr C37109</t>
  </si>
  <si>
    <t>FIC37151</t>
  </si>
  <si>
    <t xml:space="preserve"> Level Control of T37506</t>
  </si>
  <si>
    <t xml:space="preserve"> Flow Control ODCB to C37109</t>
  </si>
  <si>
    <t>PI37153</t>
  </si>
  <si>
    <t xml:space="preserve"> Pressure From E37105 to C37109</t>
  </si>
  <si>
    <t>TI37154</t>
  </si>
  <si>
    <t xml:space="preserve"> Temp of C37109 Bottom O/L</t>
  </si>
  <si>
    <t>PIC37181</t>
  </si>
  <si>
    <t xml:space="preserve"> Dis Pr of  Recovered ODCB P37113</t>
  </si>
  <si>
    <t xml:space="preserve"> Dis Pr Control Recover ODCB P37113</t>
  </si>
  <si>
    <t>TI37188</t>
  </si>
  <si>
    <t>Temp of Recover ODCB Pump P37113</t>
  </si>
  <si>
    <t>LIC37176</t>
  </si>
  <si>
    <t xml:space="preserve"> Level of ODCB Surge Tank T37112 </t>
  </si>
  <si>
    <t xml:space="preserve">Level Control of Surge Tank T37112 </t>
  </si>
  <si>
    <t>FI37177</t>
  </si>
  <si>
    <t xml:space="preserve"> Flow of Reflux to C37101_1</t>
  </si>
  <si>
    <t>TIC37175</t>
  </si>
  <si>
    <t xml:space="preserve"> Temp of ODCB frm E37114 to T35305</t>
  </si>
  <si>
    <t xml:space="preserve"> Temp Cntrl of ODCB frm E37114 toT35305</t>
  </si>
  <si>
    <t>TI37195</t>
  </si>
  <si>
    <t xml:space="preserve"> Temp of WCR from E37114</t>
  </si>
  <si>
    <t>LIC37247</t>
  </si>
  <si>
    <t xml:space="preserve"> Level of SIeam Seperator S37204.01</t>
  </si>
  <si>
    <t>Level Control ofSIeam SepS37204.01</t>
  </si>
  <si>
    <t>PI37246</t>
  </si>
  <si>
    <t>Pressure of SIeam Sep. S37204.01 Top</t>
  </si>
  <si>
    <t>TIC37242</t>
  </si>
  <si>
    <t xml:space="preserve"> Temp From E37204 to T37206</t>
  </si>
  <si>
    <t xml:space="preserve"> Temp Control From E37204 to T37206</t>
  </si>
  <si>
    <t>PI37619B</t>
  </si>
  <si>
    <t xml:space="preserve"> Pressure of top of bed C37611</t>
  </si>
  <si>
    <t>JI37901A</t>
  </si>
  <si>
    <t>Current of Pri Vacuum Pump B37901A</t>
  </si>
  <si>
    <t>JI37901B</t>
  </si>
  <si>
    <t>Current of Pri Vacuum Pump B37901B</t>
  </si>
  <si>
    <t>JI37902A</t>
  </si>
  <si>
    <t>Current of Tar Conc Vacuum B37902A</t>
  </si>
  <si>
    <t>JI37902B</t>
  </si>
  <si>
    <t>Current of Tar Conc Vacuum B37902B</t>
  </si>
  <si>
    <t>JI37903A</t>
  </si>
  <si>
    <t>Current of Sec Vacuum Pump B37903A</t>
  </si>
  <si>
    <t>JI37903B</t>
  </si>
  <si>
    <t>Current of Sec Vacuum Pump B37903B</t>
  </si>
  <si>
    <t>JI37904A</t>
  </si>
  <si>
    <t>Current of Purification Vacuum B37904A</t>
  </si>
  <si>
    <t>JI37904B</t>
  </si>
  <si>
    <t>Current of Purification Vacuum B37904B</t>
  </si>
  <si>
    <t>LIC37902</t>
  </si>
  <si>
    <t xml:space="preserve"> Level of Primary Sep S37901.03A</t>
  </si>
  <si>
    <t>Level Control Pri. Sep S37901.03A</t>
  </si>
  <si>
    <t>FIC37909</t>
  </si>
  <si>
    <t xml:space="preserve"> Flow of ODCB to B37901A</t>
  </si>
  <si>
    <t xml:space="preserve"> Flow Control of ODCB to B37901A</t>
  </si>
  <si>
    <t>FI37910</t>
  </si>
  <si>
    <t>Flow frm E37901.02A to B37901A</t>
  </si>
  <si>
    <t>TI37907</t>
  </si>
  <si>
    <t>Temp of Primary Sep. S37901.03A</t>
  </si>
  <si>
    <t>TI37908</t>
  </si>
  <si>
    <t>Temp of Pri Vac Pump B37901A</t>
  </si>
  <si>
    <t>TIC37906</t>
  </si>
  <si>
    <t>Temp of Primary Cooler E37901.02A</t>
  </si>
  <si>
    <t>Temp Control of E37901.02A</t>
  </si>
  <si>
    <t>TI37915</t>
  </si>
  <si>
    <t>Temp of Pri Vac Pump B37901B</t>
  </si>
  <si>
    <t>LIC37912</t>
  </si>
  <si>
    <t xml:space="preserve"> Level of Primary Sep S37901.03B</t>
  </si>
  <si>
    <t xml:space="preserve"> Level Control Pri Sep. S37901.03B</t>
  </si>
  <si>
    <t>FI37920</t>
  </si>
  <si>
    <t>Flow frm E37901.02B to B37901B</t>
  </si>
  <si>
    <t>PIC37904</t>
  </si>
  <si>
    <t>Pressure of Pri Vac Pump B37901A</t>
  </si>
  <si>
    <t>Pressure Control of B37901A</t>
  </si>
  <si>
    <t>PIC37914</t>
  </si>
  <si>
    <t>Pressure of Pri Vac Pump B37901B</t>
  </si>
  <si>
    <t>Pressure Control of B37901B</t>
  </si>
  <si>
    <t>TIC37916</t>
  </si>
  <si>
    <t>Temp of Primary Cooler E37901.02B</t>
  </si>
  <si>
    <t xml:space="preserve">Temperature Control E37901.02B </t>
  </si>
  <si>
    <t>TI37917</t>
  </si>
  <si>
    <t>Temp of Primary Sep. S37901.03B</t>
  </si>
  <si>
    <t>FIC37919</t>
  </si>
  <si>
    <t xml:space="preserve"> Flow of ODCB to B37901B</t>
  </si>
  <si>
    <t xml:space="preserve"> Flow control of ODCB to B37901B</t>
  </si>
  <si>
    <t>TI37981</t>
  </si>
  <si>
    <t>Temp of WCR from E37901.02A</t>
  </si>
  <si>
    <t>TI37991</t>
  </si>
  <si>
    <t>Temp of WCR from E37901.02B</t>
  </si>
  <si>
    <t>PIC37112</t>
  </si>
  <si>
    <t>Pressue of C37101 Top</t>
  </si>
  <si>
    <t>LIC37922</t>
  </si>
  <si>
    <t>Level of Tar Conc Sep. S37902.03A</t>
  </si>
  <si>
    <t xml:space="preserve">Level control of S37902.03A </t>
  </si>
  <si>
    <t>TI37927</t>
  </si>
  <si>
    <t>Tempof Tar Conc. Sep S37902.03A</t>
  </si>
  <si>
    <t>TI37928</t>
  </si>
  <si>
    <t>Temp of Tar Conc Vac Pump B37902A</t>
  </si>
  <si>
    <t>TI37937</t>
  </si>
  <si>
    <t xml:space="preserve">Temp  E37902.02B inlet </t>
  </si>
  <si>
    <t>TI37982</t>
  </si>
  <si>
    <t>Temp  WCR from E37902.02A</t>
  </si>
  <si>
    <t>TIC37936</t>
  </si>
  <si>
    <t xml:space="preserve">Temp  Control E37902.02B </t>
  </si>
  <si>
    <t xml:space="preserve">Temperature Control E37902.02B </t>
  </si>
  <si>
    <t>FI37930</t>
  </si>
  <si>
    <t>Flow frm E37902.02A to B37902B</t>
  </si>
  <si>
    <t>LIC37932</t>
  </si>
  <si>
    <t>Level  Purification Sep S37904.03A</t>
  </si>
  <si>
    <t xml:space="preserve"> Level Control of S37902.03B</t>
  </si>
  <si>
    <t>FI37940</t>
  </si>
  <si>
    <t>Flow frm E37902.02B to B37902B</t>
  </si>
  <si>
    <t>PIC37934</t>
  </si>
  <si>
    <t xml:space="preserve">Pressure Control B37902B </t>
  </si>
  <si>
    <t>Pressure Control B37902B _1</t>
  </si>
  <si>
    <t>TI37935</t>
  </si>
  <si>
    <t>Temp of Tar Conc Vac Pump B37902B</t>
  </si>
  <si>
    <t>TI37983</t>
  </si>
  <si>
    <t>Temperature of WCR from E37902.02B</t>
  </si>
  <si>
    <t>PIC37924</t>
  </si>
  <si>
    <t xml:space="preserve">Pressure Control B37902A </t>
  </si>
  <si>
    <t>Pressure Control B37902A _1</t>
  </si>
  <si>
    <t>TIC37926</t>
  </si>
  <si>
    <t>Temp of Tar Conc Cooler E37902.02A</t>
  </si>
  <si>
    <t>Temperature Control of E37902.02A</t>
  </si>
  <si>
    <t>FIC37929</t>
  </si>
  <si>
    <t xml:space="preserve"> Flow of ODCB to B37902A</t>
  </si>
  <si>
    <t xml:space="preserve"> Flow control of ODCB to B37902A</t>
  </si>
  <si>
    <t>FIC37939</t>
  </si>
  <si>
    <t xml:space="preserve"> Flow of ODCB to B37902B</t>
  </si>
  <si>
    <t xml:space="preserve"> Flow control of ODCB to B37902B</t>
  </si>
  <si>
    <t>TI37948</t>
  </si>
  <si>
    <t>Temp of Secondary Vac Pump B37903A</t>
  </si>
  <si>
    <t>FI37950</t>
  </si>
  <si>
    <t>Flow frm E37903.02A to B37903B</t>
  </si>
  <si>
    <t>LIC37942</t>
  </si>
  <si>
    <t>Level of Secondary Sep. S39703.03A</t>
  </si>
  <si>
    <t>Level Control of Sec Sep.S39703.03A</t>
  </si>
  <si>
    <t>FI37960</t>
  </si>
  <si>
    <t>Flow frm E37903.02B to B37903B</t>
  </si>
  <si>
    <t>LI37952</t>
  </si>
  <si>
    <t>Level of Secondary Sep. S39703.03B</t>
  </si>
  <si>
    <t>TI37955</t>
  </si>
  <si>
    <t>Temp of Secondary Vac Pump B37903B</t>
  </si>
  <si>
    <t>FIC37949</t>
  </si>
  <si>
    <t>Flow of ODCB to Sec Vac PumpB37903A</t>
  </si>
  <si>
    <t>Flow Control of ODCB to B37903A</t>
  </si>
  <si>
    <t>TI37947</t>
  </si>
  <si>
    <t>Temp of Secondary Sep S37903.03A</t>
  </si>
  <si>
    <t>TI37985</t>
  </si>
  <si>
    <t>Temperature WCR from E37903.02A</t>
  </si>
  <si>
    <t>TIC37946</t>
  </si>
  <si>
    <t>Temp of Secondary Cooler E37903.02A</t>
  </si>
  <si>
    <t>Temp Cntrl of  E37903.02A</t>
  </si>
  <si>
    <t>PIC37944</t>
  </si>
  <si>
    <t xml:space="preserve"> Pressure of B37903A Suction</t>
  </si>
  <si>
    <t xml:space="preserve"> Pressure Control B37903A Suction</t>
  </si>
  <si>
    <t>PIC37954</t>
  </si>
  <si>
    <t xml:space="preserve"> Pressure of B37903B Suction</t>
  </si>
  <si>
    <t xml:space="preserve"> Pressure Control B37903B Suction</t>
  </si>
  <si>
    <t>FIC37959</t>
  </si>
  <si>
    <t>Flow of ODCB to Sec Vac PumpB37903B</t>
  </si>
  <si>
    <t>Flow control of ODCB to B37903B</t>
  </si>
  <si>
    <t>TI37957</t>
  </si>
  <si>
    <t>Temp of Secondary Sep S37903.03B</t>
  </si>
  <si>
    <t>TIC37956</t>
  </si>
  <si>
    <t>Temp of Secondary Cooler E37903.02B</t>
  </si>
  <si>
    <t>Temp Control Sec. Cooler E37903.02A</t>
  </si>
  <si>
    <t>TI37980</t>
  </si>
  <si>
    <t>Temperature WCR from E37903.02B</t>
  </si>
  <si>
    <t>TI37986</t>
  </si>
  <si>
    <t>Temp  WCR from E37904.02B</t>
  </si>
  <si>
    <t>TI37984</t>
  </si>
  <si>
    <t>Temp  WCR from E37904.02A</t>
  </si>
  <si>
    <t>LI37962</t>
  </si>
  <si>
    <t>Level  Purification Sep S37904.03A_1</t>
  </si>
  <si>
    <t>FI37970</t>
  </si>
  <si>
    <t>Flow frm E37904.02A to B37904B</t>
  </si>
  <si>
    <t>PIC37964</t>
  </si>
  <si>
    <t>Pressure of  B37904A Suction</t>
  </si>
  <si>
    <t>Pressure Control B37904A Suction</t>
  </si>
  <si>
    <t>TI37968</t>
  </si>
  <si>
    <t>Temp of Puri vac Pump B37904A</t>
  </si>
  <si>
    <t>FI37980</t>
  </si>
  <si>
    <t>Flow frm E37904.02B to B37904B</t>
  </si>
  <si>
    <t>LI37972</t>
  </si>
  <si>
    <t>Level  Purification Sep S37904.03B</t>
  </si>
  <si>
    <t>TI37975</t>
  </si>
  <si>
    <t>Temp of Puri vac Pump B37904B</t>
  </si>
  <si>
    <t>FIC37969</t>
  </si>
  <si>
    <t>Flow of ODCB to B37904A</t>
  </si>
  <si>
    <t>Flow control of ODCB to B37904A</t>
  </si>
  <si>
    <t>TI37967</t>
  </si>
  <si>
    <t>Temp of Puri. Sep. S37904.03A</t>
  </si>
  <si>
    <t>TIC37966</t>
  </si>
  <si>
    <t>Temp of Puri. Cooler E37904.02A</t>
  </si>
  <si>
    <t>Temp Control Puri Cooler E37904.02A</t>
  </si>
  <si>
    <t>FIC37979</t>
  </si>
  <si>
    <t>Flow of ODCB to B37904B</t>
  </si>
  <si>
    <t>Flow Control of ODCB to B37904B</t>
  </si>
  <si>
    <t>PIC37974</t>
  </si>
  <si>
    <t>Pressure of B37904B Suction</t>
  </si>
  <si>
    <t xml:space="preserve"> Pressure control B37904B Suction</t>
  </si>
  <si>
    <t>TIC37976</t>
  </si>
  <si>
    <t>Temp Control Puri Cooler E37904.02B</t>
  </si>
  <si>
    <t>TI37977</t>
  </si>
  <si>
    <t>Temp of Puri. Sep S37904.03B</t>
  </si>
  <si>
    <t>Temp of Puri. Cooler E37904.02B</t>
  </si>
  <si>
    <t>JI39526A</t>
  </si>
  <si>
    <t>Current of TDI Effluent Pump P39526</t>
  </si>
  <si>
    <t>FI71212</t>
  </si>
  <si>
    <t>Flow of SHP to TDI Plant</t>
  </si>
  <si>
    <t>PI71210</t>
  </si>
  <si>
    <t>Pressure of SHP to TDI Plant</t>
  </si>
  <si>
    <t>TI71211</t>
  </si>
  <si>
    <t>Temp SHP on Line 712004</t>
  </si>
  <si>
    <t>FI71311</t>
  </si>
  <si>
    <t>SMP Flow to BDG340 from X71302 PRDS</t>
  </si>
  <si>
    <t>PI71309</t>
  </si>
  <si>
    <t>SMP Press to BDG340 from X71302PRDS</t>
  </si>
  <si>
    <t>TI71310</t>
  </si>
  <si>
    <t>SMP Temp to BDG340 from X71302 PRDS</t>
  </si>
  <si>
    <t>FI71423</t>
  </si>
  <si>
    <t>SLP flow to BDG340 TDI Plant</t>
  </si>
  <si>
    <t>PI71421</t>
  </si>
  <si>
    <t>SLP Press to BDG340 TDI Plant</t>
  </si>
  <si>
    <t>FI71420</t>
  </si>
  <si>
    <t>SLP flow to BDG350 Phosgene Plant</t>
  </si>
  <si>
    <t>PI71418</t>
  </si>
  <si>
    <t>SLP Press to BDG350 Phosgene Plant</t>
  </si>
  <si>
    <t>TI71419</t>
  </si>
  <si>
    <t>SLP Temp to BDG350 Phosgene Plant</t>
  </si>
  <si>
    <t>AI72454</t>
  </si>
  <si>
    <t>CWR cond. analyzer to CT frm BDG340</t>
  </si>
  <si>
    <t>FI72429</t>
  </si>
  <si>
    <t>CWS flow to BDG350 Phosgene plant</t>
  </si>
  <si>
    <t>PI72427</t>
  </si>
  <si>
    <t>CWS Press to BDG350 Phosgene plant</t>
  </si>
  <si>
    <t>TI72428</t>
  </si>
  <si>
    <t>CWS Temp to BDG350 Phosgene plant</t>
  </si>
  <si>
    <t>FI74110</t>
  </si>
  <si>
    <t>NHPFlow to BDG340 TDI Plant</t>
  </si>
  <si>
    <t>PI74101</t>
  </si>
  <si>
    <t>NHP Press to BDG340 TDI Plant</t>
  </si>
  <si>
    <t>PIC74103</t>
  </si>
  <si>
    <t>NHP to NMP Press</t>
  </si>
  <si>
    <t xml:space="preserve">NHP to NMP Press c/v </t>
  </si>
  <si>
    <t>FI75073</t>
  </si>
  <si>
    <t>Flow of WCHS T75005 to TDI Plant</t>
  </si>
  <si>
    <t>PI75071</t>
  </si>
  <si>
    <t>Pressure of WCHS T75005to TDI Plant</t>
  </si>
  <si>
    <t>AI75069</t>
  </si>
  <si>
    <t>Conductivity of WCHR to T75002</t>
  </si>
  <si>
    <t>PI75075</t>
  </si>
  <si>
    <t>Pressure of WCHR TDI Plant toT75002</t>
  </si>
  <si>
    <t>TI75072</t>
  </si>
  <si>
    <t>Temp of WCHS T75005to TDI Plant</t>
  </si>
  <si>
    <t>TI75074</t>
  </si>
  <si>
    <t>Temp of WCHR TDI Plant toT75002</t>
  </si>
  <si>
    <t>FI75143</t>
  </si>
  <si>
    <t>Flow of RFS P75103A/B to TDI Plant</t>
  </si>
  <si>
    <t>PI75141</t>
  </si>
  <si>
    <t>Pressure RFS P75103A/B to TDI Plant</t>
  </si>
  <si>
    <t>AI75146</t>
  </si>
  <si>
    <t xml:space="preserve"> Analyser of RFR Conductivity</t>
  </si>
  <si>
    <t>TI75144</t>
  </si>
  <si>
    <t>Temp of RFR TDI Plant to T75104</t>
  </si>
  <si>
    <t>PI75145</t>
  </si>
  <si>
    <t>Pressure of RFR TDI Plant to T75104</t>
  </si>
  <si>
    <t>TI75142</t>
  </si>
  <si>
    <t>Temp of RFS P75103A/B to TDI Plant</t>
  </si>
  <si>
    <t>HIC35216</t>
  </si>
  <si>
    <t xml:space="preserve">Hand Control Valve SLP to E35204 </t>
  </si>
  <si>
    <t>HIC35318</t>
  </si>
  <si>
    <t xml:space="preserve">  Hand Control Valve ODCB to T35301</t>
  </si>
  <si>
    <t>HIC35319</t>
  </si>
  <si>
    <t xml:space="preserve">  Hand Control valve ODCB to T35305</t>
  </si>
  <si>
    <t>HIC35505</t>
  </si>
  <si>
    <t xml:space="preserve"> Hand control valve NLP to B35501A/B</t>
  </si>
  <si>
    <t>SIC36132</t>
  </si>
  <si>
    <t>Speed Control R36106</t>
  </si>
  <si>
    <t>JI36104</t>
  </si>
  <si>
    <t>Current Circ Pmp Seal Liquid P36102.01</t>
  </si>
  <si>
    <t>AIC36105</t>
  </si>
  <si>
    <t>AnalyzerCOCI2 in Reaction Gas</t>
  </si>
  <si>
    <t>AIC36107</t>
  </si>
  <si>
    <t>AnalyzerCOCI2 in Reaction Gas_1</t>
  </si>
  <si>
    <t>KIC36162</t>
  </si>
  <si>
    <t xml:space="preserve"> Control Valve P36102 to E36103</t>
  </si>
  <si>
    <t>KIC36256</t>
  </si>
  <si>
    <t>Control Valve TDI-Mix from P36202A</t>
  </si>
  <si>
    <t>KIC36258</t>
  </si>
  <si>
    <t>Control Valve TDI-Mix from P36202B</t>
  </si>
  <si>
    <t>LIC36353</t>
  </si>
  <si>
    <t xml:space="preserve"> Flow Control TDI to C37101</t>
  </si>
  <si>
    <t>KIC36371</t>
  </si>
  <si>
    <t xml:space="preserve"> Control Valve TDI-Mix from P36302A</t>
  </si>
  <si>
    <t>KIC36373</t>
  </si>
  <si>
    <t xml:space="preserve"> Control Valve TDI-Mix from P36302B</t>
  </si>
  <si>
    <t>HIC36436</t>
  </si>
  <si>
    <t>Hand Cntrl valve Pho from S36401.02</t>
  </si>
  <si>
    <t>HIC36405</t>
  </si>
  <si>
    <t>Hand Cntrl Valve ByPass PV-36413</t>
  </si>
  <si>
    <t>HIC36418</t>
  </si>
  <si>
    <t xml:space="preserve"> Hand control valve PHO to T37610 </t>
  </si>
  <si>
    <t>HIC36407</t>
  </si>
  <si>
    <t xml:space="preserve"> Hand control valve NMP to B36401</t>
  </si>
  <si>
    <t>HIC36437</t>
  </si>
  <si>
    <t>Hand Control ByPass Valve PSE36401</t>
  </si>
  <si>
    <t>HIC36518</t>
  </si>
  <si>
    <t xml:space="preserve"> Hand Contrl Valve E36205 to T37610</t>
  </si>
  <si>
    <t>HIC36536</t>
  </si>
  <si>
    <t xml:space="preserve">Hand Cntrl Valve S36501.02toB36501 </t>
  </si>
  <si>
    <t>HIC36505</t>
  </si>
  <si>
    <t xml:space="preserve"> Hand Control Valve by-pass HS36502</t>
  </si>
  <si>
    <t>HIC36537</t>
  </si>
  <si>
    <t>Hand Bypassvalve RupDisc S36501.02</t>
  </si>
  <si>
    <t>HIC36507</t>
  </si>
  <si>
    <t xml:space="preserve"> Hand Valve of NHP to B36501</t>
  </si>
  <si>
    <t>KIC37144</t>
  </si>
  <si>
    <t xml:space="preserve"> Control valve of P37102 O/L</t>
  </si>
  <si>
    <t xml:space="preserve"> Flow control bottom draw to C37101</t>
  </si>
  <si>
    <t xml:space="preserve"> Temp Control For E37105 Bottom</t>
  </si>
  <si>
    <t>HIC37905</t>
  </si>
  <si>
    <t>Hand Control valve NLP to B37901A/B</t>
  </si>
  <si>
    <t>HIC37925</t>
  </si>
  <si>
    <t>Hand Control valve NLP to B37902A/B</t>
  </si>
  <si>
    <t>HIC37945</t>
  </si>
  <si>
    <t xml:space="preserve"> Hand Control NLP feed to Sec Col  </t>
  </si>
  <si>
    <t>HIC37965</t>
  </si>
  <si>
    <t>Hand Control Valve NLP to B37904A/B</t>
  </si>
  <si>
    <t>PI71318</t>
  </si>
  <si>
    <t>Pressure SHP Line 712003</t>
  </si>
  <si>
    <t>TI71303</t>
  </si>
  <si>
    <t>Temp of SMP on X71302A</t>
  </si>
  <si>
    <t>TI71301</t>
  </si>
  <si>
    <t>Temp of SMP on X71302B</t>
  </si>
  <si>
    <t>JI37212</t>
  </si>
  <si>
    <t>Current of tar concentrator P37202A</t>
  </si>
  <si>
    <t>JI37213</t>
  </si>
  <si>
    <t>Current of tar concentrator P37202B</t>
  </si>
  <si>
    <t>TI37216</t>
  </si>
  <si>
    <t>Temp of tar concentrator P37202B</t>
  </si>
  <si>
    <t>VI374003</t>
  </si>
  <si>
    <t>Viscosity of FT374003</t>
  </si>
  <si>
    <t>TI37206</t>
  </si>
  <si>
    <t>Temp of Reboiler E37203A O\L</t>
  </si>
  <si>
    <t>TI37207</t>
  </si>
  <si>
    <t>Temp of Reboiler E37203B O\L</t>
  </si>
  <si>
    <t>FIC37201</t>
  </si>
  <si>
    <t>Flow control of SMP to E37203A/B</t>
  </si>
  <si>
    <t>PI37202</t>
  </si>
  <si>
    <t>Pressure of SMP to E37203A/B</t>
  </si>
  <si>
    <t>LIC37232</t>
  </si>
  <si>
    <t>Level of Drying Column C35401</t>
  </si>
  <si>
    <t>TI37237</t>
  </si>
  <si>
    <t>Temp of C37201 bottom O/L</t>
  </si>
  <si>
    <t>PIC37230</t>
  </si>
  <si>
    <t>pressure of Tar Concentrator C37201</t>
  </si>
  <si>
    <t>pressure of Tar Concentrator C37201_1</t>
  </si>
  <si>
    <t>PIC37231</t>
  </si>
  <si>
    <t>pressure control on top C37201</t>
  </si>
  <si>
    <t>pressure control on top C37201_1</t>
  </si>
  <si>
    <t>PI37248</t>
  </si>
  <si>
    <t>pressure on top C37201</t>
  </si>
  <si>
    <t>FI37255</t>
  </si>
  <si>
    <t>Flow from P37202 to C37501</t>
  </si>
  <si>
    <t>LI38009</t>
  </si>
  <si>
    <t>Level of Steel Heel tank T38001</t>
  </si>
  <si>
    <t>LI38015</t>
  </si>
  <si>
    <t>Level of Steel Heel tank T38002</t>
  </si>
  <si>
    <t>LI38024</t>
  </si>
  <si>
    <t>Level General Purpose Tank T38011</t>
  </si>
  <si>
    <t>LI38025</t>
  </si>
  <si>
    <t>Level General Purpose Tank T38012</t>
  </si>
  <si>
    <t>FIC38014</t>
  </si>
  <si>
    <t>Flow Of TDI-ODCB From P38003A/B</t>
  </si>
  <si>
    <t>Flow Of TDI-ODCB From P38003A/B_1</t>
  </si>
  <si>
    <t>FIC38029</t>
  </si>
  <si>
    <t>Flow Of GPT to C37101</t>
  </si>
  <si>
    <t>Flow Of GPT to C37101_1</t>
  </si>
  <si>
    <t>UI36118</t>
  </si>
  <si>
    <t>Flow Sum Phos/2 ODCB</t>
  </si>
  <si>
    <t>UI36119</t>
  </si>
  <si>
    <t>Phosgene Concentration</t>
  </si>
  <si>
    <t>JI35429B</t>
  </si>
  <si>
    <t>Current of Drying Reboiler Pump P35402B</t>
  </si>
  <si>
    <t>TI36284</t>
  </si>
  <si>
    <t>Temp of Reboiler Pump P36206B</t>
  </si>
  <si>
    <t>JI36625B</t>
  </si>
  <si>
    <t>Current of TDI Catch Tank Pump P36624B</t>
  </si>
  <si>
    <t>JI37187B</t>
  </si>
  <si>
    <t>Current of reflux Pump P37107</t>
  </si>
  <si>
    <t>JI39526B</t>
  </si>
  <si>
    <t>Current of TDI Effluent Pump P39526B</t>
  </si>
  <si>
    <t>TI35428B</t>
  </si>
  <si>
    <t>RTD Temp of P35402B</t>
  </si>
  <si>
    <t>TI37167B</t>
  </si>
  <si>
    <t>RTD Temp of P37107B</t>
  </si>
  <si>
    <t>VI374001</t>
  </si>
  <si>
    <t>Viscosity of 72 Section</t>
  </si>
  <si>
    <t>Search</t>
  </si>
  <si>
    <t>SearchList</t>
  </si>
  <si>
    <t>Combined</t>
  </si>
  <si>
    <t>Date</t>
  </si>
  <si>
    <t>Resolution</t>
  </si>
  <si>
    <t>Hourly</t>
  </si>
  <si>
    <t>Duration</t>
  </si>
  <si>
    <t>JI37182_Current of Recovered ODCB Pump P37113</t>
  </si>
  <si>
    <t>JI37155_Current of Vent Conden Pump P37111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</si>
</sst>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NumberFormat="1"/>
    <xf numFmtId="22" fontId="0" fillId="0" borderId="0" xfId="0" applyNumberFormat="1"/>
    <xf numFmtId="14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 applyNumberFormat="1" applyAlignment="1">
      <alignment horizontal="left"/>
    </xf>
  </cellXfs>
  <cellStyles count="1">
    <cellStyle name="Normal" xfId="0" builtinId="0"/>
  </cellStyles>
  <dxfs count="6">
    <dxf>
      <numFmt numFmtId="27" formatCode="dd/mm/yyyy\ h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JI37182_Current of Recovered ODCB Pump P37113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Sheet2!$A$2:$A$22</c:f>
              <c:numCache>
                <c:formatCode>m/d/yyyy\ h:mm</c:formatCode>
                <c:ptCount val="21"/>
                <c:pt idx="0">
                  <c:v>44711.3125</c:v>
                </c:pt>
                <c:pt idx="1">
                  <c:v>44711.354166666664</c:v>
                </c:pt>
                <c:pt idx="2">
                  <c:v>44711.395833333336</c:v>
                </c:pt>
                <c:pt idx="3">
                  <c:v>44711.895833333336</c:v>
                </c:pt>
                <c:pt idx="4">
                  <c:v>44712.0625</c:v>
                </c:pt>
                <c:pt idx="5">
                  <c:v>44712.104166666664</c:v>
                </c:pt>
                <c:pt idx="6">
                  <c:v>44712.229166666664</c:v>
                </c:pt>
                <c:pt idx="7">
                  <c:v>44712.479166666664</c:v>
                </c:pt>
                <c:pt idx="8">
                  <c:v>44712.770833333336</c:v>
                </c:pt>
                <c:pt idx="9">
                  <c:v>44712.9375</c:v>
                </c:pt>
                <c:pt idx="10">
                  <c:v>44713.0625</c:v>
                </c:pt>
                <c:pt idx="11">
                  <c:v>44713.229166666664</c:v>
                </c:pt>
                <c:pt idx="12">
                  <c:v>44713.270833333336</c:v>
                </c:pt>
                <c:pt idx="13">
                  <c:v>44713.4375</c:v>
                </c:pt>
                <c:pt idx="14">
                  <c:v>44713.520833333336</c:v>
                </c:pt>
                <c:pt idx="15">
                  <c:v>44713.729166666664</c:v>
                </c:pt>
                <c:pt idx="16">
                  <c:v>44714.145833333336</c:v>
                </c:pt>
                <c:pt idx="17">
                  <c:v>44714.270833333336</c:v>
                </c:pt>
                <c:pt idx="18">
                  <c:v>44714.4375</c:v>
                </c:pt>
                <c:pt idx="19">
                  <c:v>44714.6875</c:v>
                </c:pt>
                <c:pt idx="20">
                  <c:v>44715.0625</c:v>
                </c:pt>
              </c:numCache>
            </c:numRef>
          </c:xVal>
          <c:yVal>
            <c:numRef>
              <c:f>Sheet2!$B$2:$B$22</c:f>
              <c:numCache>
                <c:formatCode>General</c:formatCode>
                <c:ptCount val="21"/>
                <c:pt idx="0">
                  <c:v>554.25701904296875</c:v>
                </c:pt>
                <c:pt idx="1">
                  <c:v>648.84002685546875</c:v>
                </c:pt>
                <c:pt idx="2">
                  <c:v>843.14300537109375</c:v>
                </c:pt>
                <c:pt idx="3">
                  <c:v>5.5060000419616699</c:v>
                </c:pt>
                <c:pt idx="4">
                  <c:v>127.42400360107422</c:v>
                </c:pt>
                <c:pt idx="5">
                  <c:v>345.489013671875</c:v>
                </c:pt>
                <c:pt idx="6">
                  <c:v>655.01202392578125</c:v>
                </c:pt>
                <c:pt idx="7">
                  <c:v>584.57598876953125</c:v>
                </c:pt>
                <c:pt idx="8">
                  <c:v>782.739990234375</c:v>
                </c:pt>
                <c:pt idx="9">
                  <c:v>860.60601806640625</c:v>
                </c:pt>
                <c:pt idx="10">
                  <c:v>779.3499755859375</c:v>
                </c:pt>
                <c:pt idx="11">
                  <c:v>559.38702392578125</c:v>
                </c:pt>
                <c:pt idx="12">
                  <c:v>94.052001953125</c:v>
                </c:pt>
                <c:pt idx="13">
                  <c:v>77.299003601074219</c:v>
                </c:pt>
                <c:pt idx="14">
                  <c:v>489.27801513671875</c:v>
                </c:pt>
                <c:pt idx="15">
                  <c:v>903.3709716796875</c:v>
                </c:pt>
                <c:pt idx="16">
                  <c:v>844.718017578125</c:v>
                </c:pt>
                <c:pt idx="17">
                  <c:v>520.84600830078125</c:v>
                </c:pt>
                <c:pt idx="18">
                  <c:v>438.50100708007813</c:v>
                </c:pt>
                <c:pt idx="19">
                  <c:v>110.03800201416016</c:v>
                </c:pt>
                <c:pt idx="20">
                  <c:v>871.4849853515625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61-4C2A-B876-DF8E2D546E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5726815"/>
        <c:axId val="335727295"/>
      </c:scatterChart>
      <c:valAx>
        <c:axId val="33572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27295"/>
        <c:crosses val="autoZero"/>
        <c:crossBetween val="midCat"/>
      </c:valAx>
      <c:valAx>
        <c:axId val="335727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7268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281940</xdr:colOff>
      <xdr:row>8</xdr:row>
      <xdr:rowOff>179070</xdr:rowOff>
    </xdr:from>
    <xdr:to>
      <xdr:col>10</xdr:col>
      <xdr:colOff>152400</xdr:colOff>
      <xdr:row>23</xdr:row>
      <xdr:rowOff>179070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99FF00F-F7A3-3A82-5DEF-C282470B13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9FFF1921-47C8-4A84-8DE1-BCA6DFEA14D7}" autoFormatId="16" applyNumberFormats="0" applyBorderFormats="0" applyFontFormats="0" applyPatternFormats="0" applyAlignmentFormats="0" applyWidthHeightFormats="0">
  <queryTableRefresh nextId="7" unboundColumnsRight="3">
    <queryTableFields count="6">
      <queryTableField id="1" name="TagKey" tableColumnId="1"/>
      <queryTableField id="2" name="TagName" tableColumnId="2"/>
      <queryTableField id="3" name="Description" tableColumnId="3"/>
      <queryTableField id="6" dataBound="0" tableColumnId="6"/>
      <queryTableField id="4" dataBound="0" tableColumnId="4"/>
      <queryTableField id="5" dataBound="0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EBED313F-6A52-4870-989B-9958FF22E876}" autoFormatId="16" applyNumberFormats="0" applyBorderFormats="0" applyFontFormats="0" applyPatternFormats="0" applyAlignmentFormats="0" applyWidthHeightFormats="0">
  <queryTableRefresh nextId="10">
    <queryTableFields count="2">
      <queryTableField id="4" name="DateTime" tableColumnId="4"/>
      <queryTableField id="9" name="JI37182_Current of Recovered ODCB Pump P37113" tableColumnId="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880E63-D963-4F7C-9F3B-170D3DCAAD87}" name="TagData" displayName="TagData" ref="A1:F616" tableType="queryTable" totalsRowShown="0">
  <autoFilter ref="A1:F616" xr:uid="{02880E63-D963-4F7C-9F3B-170D3DCAAD87}"/>
  <tableColumns count="6">
    <tableColumn id="1" xr3:uid="{4CD1A0E1-9F1B-4434-A044-131FF87446F4}" uniqueName="1" name="TagKey" queryTableFieldId="1"/>
    <tableColumn id="2" xr3:uid="{FE9A299B-BD11-4640-8B95-18983FEA0DE7}" uniqueName="2" name="TagName" queryTableFieldId="2" dataDxfId="5"/>
    <tableColumn id="3" xr3:uid="{2A5B51A7-FBAD-4022-9B53-CEDF88C41EFF}" uniqueName="3" name="Description" queryTableFieldId="3" dataDxfId="4"/>
    <tableColumn id="6" xr3:uid="{47DA5AC9-1392-465B-8757-887D2E645913}" uniqueName="6" name="Combined" queryTableFieldId="6" dataDxfId="1">
      <calculatedColumnFormula>+TagData[[#This Row],[TagName]]&amp;"_"&amp;TagData[[#This Row],[Description]]</calculatedColumnFormula>
    </tableColumn>
    <tableColumn id="4" xr3:uid="{8BD617E2-C5BF-490A-8315-009110009427}" uniqueName="4" name="Search" queryTableFieldId="4" dataDxfId="2">
      <calculatedColumnFormula array="1">IF(ISNUMBER(SEARCH(INDIRECT(CELL("address")),TagData[[#This Row],[Combined]])),MAX($E$1:E1)+1,0)</calculatedColumnFormula>
    </tableColumn>
    <tableColumn id="5" xr3:uid="{E07E0D03-7A5D-4CAB-9E5C-23BC58F95E36}" uniqueName="5" name="SearchList" queryTableFieldId="5" dataDxfId="3">
      <calculatedColumnFormula>IFERROR(INDEX(TagData[],MATCH(ROWS(F$1:$G1),TagData[Search],0),4),"")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55279F-FD8B-49E0-B3B6-A95D92E9AF9D}" name="hourlyData" displayName="hourlyData" ref="A1:B22" tableType="queryTable" totalsRowShown="0">
  <autoFilter ref="A1:B22" xr:uid="{CB55279F-FD8B-49E0-B3B6-A95D92E9AF9D}"/>
  <tableColumns count="2">
    <tableColumn id="4" xr3:uid="{F408EC3B-DDE2-4499-867F-77D47772C2B7}" uniqueName="4" name="DateTime" queryTableFieldId="4" dataDxfId="0"/>
    <tableColumn id="8" xr3:uid="{6AE2713D-1168-4F15-86E6-3EF89571D38E}" uniqueName="8" name="JI37182_Current of Recovered ODCB Pump P37113" queryTableField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89F9A-5BB2-43D8-8E39-E9EB9A747F37}">
  <sheetPr codeName="Sheet1"/>
  <dimension ref="A1:P1006"/>
  <sheetViews>
    <sheetView tabSelected="1" workbookViewId="0">
      <selection activeCell="C2" sqref="C2"/>
    </sheetView>
  </sheetViews>
  <sheetFormatPr defaultRowHeight="14.4" x14ac:dyDescent="0.3"/>
  <cols>
    <col min="1" max="1" width="15.33203125" bestFit="1" customWidth="1"/>
    <col min="2" max="12" width="14.77734375" customWidth="1"/>
  </cols>
  <sheetData>
    <row r="1" spans="1:16" x14ac:dyDescent="0.3">
      <c r="B1">
        <f>IFERROR(INDEX(TagData[],MATCH(B2,TagData[Combined],0),1),"")</f>
        <v>233</v>
      </c>
      <c r="C1">
        <f>IFERROR(INDEX(TagData[],MATCH(C2,TagData[Combined],0),1),"")</f>
        <v>228</v>
      </c>
      <c r="D1" t="str">
        <f>IFERROR(INDEX(TagData[],MATCH(D2,TagData[Combined],0),1),"")</f>
        <v/>
      </c>
      <c r="E1" t="str">
        <f>IFERROR(INDEX(TagData[],MATCH(E2,TagData[Combined],0),1),"")</f>
        <v/>
      </c>
      <c r="F1" t="str">
        <f>IFERROR(INDEX(TagData[],MATCH(F2,TagData[Combined],0),1),"")</f>
        <v/>
      </c>
      <c r="G1" t="str">
        <f>IFERROR(INDEX(TagData[],MATCH(G2,TagData[Combined],0),1),"")</f>
        <v/>
      </c>
      <c r="H1" t="str">
        <f>IFERROR(INDEX(TagData[],MATCH(H2,TagData[Combined],0),1),"")</f>
        <v/>
      </c>
      <c r="I1" t="str">
        <f>IFERROR(INDEX(TagData[],MATCH(I2,TagData[Combined],0),1),"")</f>
        <v/>
      </c>
      <c r="J1" t="str">
        <f>IFERROR(INDEX(TagData[],MATCH(J2,TagData[Combined],0),1),"")</f>
        <v/>
      </c>
      <c r="K1" t="str">
        <f>IFERROR(INDEX(TagData[],MATCH(K2,TagData[Combined],0),1),"")</f>
        <v/>
      </c>
      <c r="L1" t="str">
        <f>IFERROR(INDEX(TagData[],MATCH(L2,TagData[Combined],0),1),"")</f>
        <v/>
      </c>
      <c r="M1" t="str">
        <f>IFERROR(INDEX(TagData[],MATCH(M2,TagData[Combined],0),1),"")</f>
        <v/>
      </c>
      <c r="N1" t="str">
        <f>IFERROR(INDEX(TagData[],MATCH(N2,TagData[Combined],0),1),"")</f>
        <v/>
      </c>
      <c r="P1" t="str">
        <f>IFERROR(INDEX(TagData[],MATCH(P2,TagData[Combined],0),1),"")</f>
        <v/>
      </c>
    </row>
    <row r="2" spans="1:16" x14ac:dyDescent="0.3">
      <c r="A2" s="4" t="s">
        <v>4</v>
      </c>
      <c r="B2" t="s">
        <v>573</v>
      </c>
      <c r="C2" t="s">
        <v>574</v>
      </c>
    </row>
    <row r="3" spans="1:16" x14ac:dyDescent="0.3">
      <c r="A3" s="4" t="s">
        <v>569</v>
      </c>
      <c r="B3" s="3">
        <v>44711</v>
      </c>
    </row>
    <row r="4" spans="1:16" x14ac:dyDescent="0.3">
      <c r="A4" s="4" t="s">
        <v>570</v>
      </c>
      <c r="B4" s="3" t="s">
        <v>571</v>
      </c>
    </row>
    <row r="5" spans="1:16" x14ac:dyDescent="0.3">
      <c r="A5" s="4" t="s">
        <v>572</v>
      </c>
      <c r="B5" s="5">
        <v>100</v>
      </c>
    </row>
    <row r="7" spans="1:16" x14ac:dyDescent="0.3">
      <c r="E7" s="2"/>
    </row>
    <row r="8" spans="1:16" x14ac:dyDescent="0.3">
      <c r="E8" s="2"/>
    </row>
    <row r="9" spans="1:16" x14ac:dyDescent="0.3">
      <c r="E9" s="2"/>
    </row>
    <row r="10" spans="1:16" x14ac:dyDescent="0.3">
      <c r="E10" s="2"/>
    </row>
    <row r="11" spans="1:16" x14ac:dyDescent="0.3">
      <c r="E11" s="2"/>
    </row>
    <row r="12" spans="1:16" x14ac:dyDescent="0.3">
      <c r="E12" s="2"/>
    </row>
    <row r="13" spans="1:16" x14ac:dyDescent="0.3">
      <c r="E13" s="2"/>
    </row>
    <row r="14" spans="1:16" x14ac:dyDescent="0.3">
      <c r="E14" s="2"/>
    </row>
    <row r="15" spans="1:16" x14ac:dyDescent="0.3">
      <c r="E15" s="2"/>
    </row>
    <row r="16" spans="1:16" x14ac:dyDescent="0.3">
      <c r="E16" s="2"/>
    </row>
    <row r="17" spans="5:5" x14ac:dyDescent="0.3">
      <c r="E17" s="2"/>
    </row>
    <row r="18" spans="5:5" x14ac:dyDescent="0.3">
      <c r="E18" s="2"/>
    </row>
    <row r="19" spans="5:5" x14ac:dyDescent="0.3">
      <c r="E19" s="2"/>
    </row>
    <row r="20" spans="5:5" x14ac:dyDescent="0.3">
      <c r="E20" s="2"/>
    </row>
    <row r="21" spans="5:5" x14ac:dyDescent="0.3">
      <c r="E21" s="2"/>
    </row>
    <row r="22" spans="5:5" x14ac:dyDescent="0.3">
      <c r="E22" s="2"/>
    </row>
    <row r="23" spans="5:5" x14ac:dyDescent="0.3">
      <c r="E23" s="2"/>
    </row>
    <row r="24" spans="5:5" x14ac:dyDescent="0.3">
      <c r="E24" s="2"/>
    </row>
    <row r="25" spans="5:5" x14ac:dyDescent="0.3">
      <c r="E25" s="2"/>
    </row>
    <row r="26" spans="5:5" x14ac:dyDescent="0.3">
      <c r="E26" s="2"/>
    </row>
    <row r="27" spans="5:5" x14ac:dyDescent="0.3">
      <c r="E27" s="2"/>
    </row>
    <row r="28" spans="5:5" x14ac:dyDescent="0.3">
      <c r="E28" s="2"/>
    </row>
    <row r="29" spans="5:5" x14ac:dyDescent="0.3">
      <c r="E29" s="2"/>
    </row>
    <row r="30" spans="5:5" x14ac:dyDescent="0.3">
      <c r="E30" s="2"/>
    </row>
    <row r="31" spans="5:5" x14ac:dyDescent="0.3">
      <c r="E31" s="2"/>
    </row>
    <row r="32" spans="5:5" x14ac:dyDescent="0.3">
      <c r="E32" s="2"/>
    </row>
    <row r="33" spans="5:6" x14ac:dyDescent="0.3">
      <c r="E33" s="2"/>
    </row>
    <row r="34" spans="5:6" x14ac:dyDescent="0.3">
      <c r="E34" s="2"/>
    </row>
    <row r="35" spans="5:6" x14ac:dyDescent="0.3">
      <c r="F35" s="2"/>
    </row>
    <row r="36" spans="5:6" x14ac:dyDescent="0.3">
      <c r="F36" s="2"/>
    </row>
    <row r="37" spans="5:6" x14ac:dyDescent="0.3">
      <c r="F37" s="2"/>
    </row>
    <row r="38" spans="5:6" x14ac:dyDescent="0.3">
      <c r="F38" s="2"/>
    </row>
    <row r="39" spans="5:6" x14ac:dyDescent="0.3">
      <c r="F39" s="2"/>
    </row>
    <row r="40" spans="5:6" x14ac:dyDescent="0.3">
      <c r="F40" s="2"/>
    </row>
    <row r="41" spans="5:6" x14ac:dyDescent="0.3">
      <c r="F41" s="2"/>
    </row>
    <row r="42" spans="5:6" x14ac:dyDescent="0.3">
      <c r="F42" s="2"/>
    </row>
    <row r="43" spans="5:6" x14ac:dyDescent="0.3">
      <c r="F43" s="2"/>
    </row>
    <row r="44" spans="5:6" x14ac:dyDescent="0.3">
      <c r="F44" s="2"/>
    </row>
    <row r="45" spans="5:6" x14ac:dyDescent="0.3">
      <c r="F45" s="2"/>
    </row>
    <row r="46" spans="5:6" x14ac:dyDescent="0.3">
      <c r="F46" s="2"/>
    </row>
    <row r="47" spans="5:6" x14ac:dyDescent="0.3">
      <c r="F47" s="2"/>
    </row>
    <row r="48" spans="5:6" x14ac:dyDescent="0.3">
      <c r="F48" s="2"/>
    </row>
    <row r="49" spans="6:8" x14ac:dyDescent="0.3">
      <c r="F49" s="2"/>
    </row>
    <row r="50" spans="6:8" x14ac:dyDescent="0.3">
      <c r="G50" s="2"/>
    </row>
    <row r="51" spans="6:8" x14ac:dyDescent="0.3">
      <c r="G51" s="2"/>
    </row>
    <row r="52" spans="6:8" x14ac:dyDescent="0.3">
      <c r="G52" s="2"/>
    </row>
    <row r="53" spans="6:8" x14ac:dyDescent="0.3">
      <c r="G53" s="2"/>
    </row>
    <row r="54" spans="6:8" x14ac:dyDescent="0.3">
      <c r="G54" s="2"/>
    </row>
    <row r="55" spans="6:8" x14ac:dyDescent="0.3">
      <c r="G55" s="2"/>
    </row>
    <row r="56" spans="6:8" x14ac:dyDescent="0.3">
      <c r="G56" s="2"/>
    </row>
    <row r="57" spans="6:8" x14ac:dyDescent="0.3">
      <c r="G57" s="2"/>
    </row>
    <row r="58" spans="6:8" x14ac:dyDescent="0.3">
      <c r="G58" s="2"/>
    </row>
    <row r="59" spans="6:8" x14ac:dyDescent="0.3">
      <c r="H59" s="2"/>
    </row>
    <row r="60" spans="6:8" x14ac:dyDescent="0.3">
      <c r="H60" s="2"/>
    </row>
    <row r="61" spans="6:8" x14ac:dyDescent="0.3">
      <c r="H61" s="2"/>
    </row>
    <row r="62" spans="6:8" x14ac:dyDescent="0.3">
      <c r="H62" s="2"/>
    </row>
    <row r="63" spans="6:8" x14ac:dyDescent="0.3">
      <c r="H63" s="2"/>
    </row>
    <row r="64" spans="6:8" x14ac:dyDescent="0.3">
      <c r="H64" s="2"/>
    </row>
    <row r="65" spans="8:8" x14ac:dyDescent="0.3">
      <c r="H65" s="2"/>
    </row>
    <row r="66" spans="8:8" x14ac:dyDescent="0.3">
      <c r="H66" s="2"/>
    </row>
    <row r="67" spans="8:8" x14ac:dyDescent="0.3">
      <c r="H67" s="2"/>
    </row>
    <row r="68" spans="8:8" x14ac:dyDescent="0.3">
      <c r="H68" s="2"/>
    </row>
    <row r="69" spans="8:8" x14ac:dyDescent="0.3">
      <c r="H69" s="2"/>
    </row>
    <row r="70" spans="8:8" x14ac:dyDescent="0.3">
      <c r="H70" s="2"/>
    </row>
    <row r="71" spans="8:8" x14ac:dyDescent="0.3">
      <c r="H71" s="2"/>
    </row>
    <row r="72" spans="8:8" x14ac:dyDescent="0.3">
      <c r="H72" s="2"/>
    </row>
    <row r="73" spans="8:8" x14ac:dyDescent="0.3">
      <c r="H73" s="2"/>
    </row>
    <row r="74" spans="8:8" x14ac:dyDescent="0.3">
      <c r="H74" s="2"/>
    </row>
    <row r="75" spans="8:8" x14ac:dyDescent="0.3">
      <c r="H75" s="2"/>
    </row>
    <row r="76" spans="8:8" x14ac:dyDescent="0.3">
      <c r="H76" s="2"/>
    </row>
    <row r="77" spans="8:8" x14ac:dyDescent="0.3">
      <c r="H77" s="2"/>
    </row>
    <row r="78" spans="8:8" x14ac:dyDescent="0.3">
      <c r="H78" s="2"/>
    </row>
    <row r="79" spans="8:8" x14ac:dyDescent="0.3">
      <c r="H79" s="2"/>
    </row>
    <row r="80" spans="8:8" x14ac:dyDescent="0.3">
      <c r="H80" s="2"/>
    </row>
    <row r="81" spans="8:8" x14ac:dyDescent="0.3">
      <c r="H81" s="2"/>
    </row>
    <row r="82" spans="8:8" x14ac:dyDescent="0.3">
      <c r="H82" s="2"/>
    </row>
    <row r="83" spans="8:8" x14ac:dyDescent="0.3">
      <c r="H83" s="2"/>
    </row>
    <row r="84" spans="8:8" x14ac:dyDescent="0.3">
      <c r="H84" s="2"/>
    </row>
    <row r="85" spans="8:8" x14ac:dyDescent="0.3">
      <c r="H85" s="2"/>
    </row>
    <row r="86" spans="8:8" x14ac:dyDescent="0.3">
      <c r="H86" s="2"/>
    </row>
    <row r="87" spans="8:8" x14ac:dyDescent="0.3">
      <c r="H87" s="2"/>
    </row>
    <row r="88" spans="8:8" x14ac:dyDescent="0.3">
      <c r="H88" s="2"/>
    </row>
    <row r="89" spans="8:8" x14ac:dyDescent="0.3">
      <c r="H89" s="2"/>
    </row>
    <row r="90" spans="8:8" x14ac:dyDescent="0.3">
      <c r="H90" s="2"/>
    </row>
    <row r="91" spans="8:8" x14ac:dyDescent="0.3">
      <c r="H91" s="2"/>
    </row>
    <row r="92" spans="8:8" x14ac:dyDescent="0.3">
      <c r="H92" s="2"/>
    </row>
    <row r="93" spans="8:8" x14ac:dyDescent="0.3">
      <c r="H93" s="2"/>
    </row>
    <row r="94" spans="8:8" x14ac:dyDescent="0.3">
      <c r="H94" s="2"/>
    </row>
    <row r="95" spans="8:8" x14ac:dyDescent="0.3">
      <c r="H95" s="2"/>
    </row>
    <row r="96" spans="8:8" x14ac:dyDescent="0.3">
      <c r="H96" s="2"/>
    </row>
    <row r="97" spans="8:8" x14ac:dyDescent="0.3">
      <c r="H97" s="2"/>
    </row>
    <row r="98" spans="8:8" x14ac:dyDescent="0.3">
      <c r="H98" s="2"/>
    </row>
    <row r="99" spans="8:8" x14ac:dyDescent="0.3">
      <c r="H99" s="2"/>
    </row>
    <row r="100" spans="8:8" x14ac:dyDescent="0.3">
      <c r="H100" s="2"/>
    </row>
    <row r="101" spans="8:8" x14ac:dyDescent="0.3">
      <c r="H101" s="2"/>
    </row>
    <row r="102" spans="8:8" x14ac:dyDescent="0.3">
      <c r="H102" s="2"/>
    </row>
    <row r="103" spans="8:8" x14ac:dyDescent="0.3">
      <c r="H103" s="2"/>
    </row>
    <row r="104" spans="8:8" x14ac:dyDescent="0.3">
      <c r="H104" s="2"/>
    </row>
    <row r="105" spans="8:8" x14ac:dyDescent="0.3">
      <c r="H105" s="2"/>
    </row>
    <row r="106" spans="8:8" x14ac:dyDescent="0.3">
      <c r="H106" s="2"/>
    </row>
    <row r="107" spans="8:8" x14ac:dyDescent="0.3">
      <c r="H107" s="2"/>
    </row>
    <row r="108" spans="8:8" x14ac:dyDescent="0.3">
      <c r="H108" s="2"/>
    </row>
    <row r="109" spans="8:8" x14ac:dyDescent="0.3">
      <c r="H109" s="2"/>
    </row>
    <row r="110" spans="8:8" x14ac:dyDescent="0.3">
      <c r="H110" s="2"/>
    </row>
    <row r="111" spans="8:8" x14ac:dyDescent="0.3">
      <c r="H111" s="2"/>
    </row>
    <row r="112" spans="8:8" x14ac:dyDescent="0.3">
      <c r="H112" s="2"/>
    </row>
    <row r="113" spans="8:8" x14ac:dyDescent="0.3">
      <c r="H113" s="2"/>
    </row>
    <row r="114" spans="8:8" x14ac:dyDescent="0.3">
      <c r="H114" s="2"/>
    </row>
    <row r="115" spans="8:8" x14ac:dyDescent="0.3">
      <c r="H115" s="2"/>
    </row>
    <row r="116" spans="8:8" x14ac:dyDescent="0.3">
      <c r="H116" s="2"/>
    </row>
    <row r="117" spans="8:8" x14ac:dyDescent="0.3">
      <c r="H117" s="2"/>
    </row>
    <row r="118" spans="8:8" x14ac:dyDescent="0.3">
      <c r="H118" s="2"/>
    </row>
    <row r="119" spans="8:8" x14ac:dyDescent="0.3">
      <c r="H119" s="2"/>
    </row>
    <row r="120" spans="8:8" x14ac:dyDescent="0.3">
      <c r="H120" s="2"/>
    </row>
    <row r="121" spans="8:8" x14ac:dyDescent="0.3">
      <c r="H121" s="2"/>
    </row>
    <row r="122" spans="8:8" x14ac:dyDescent="0.3">
      <c r="H122" s="2"/>
    </row>
    <row r="123" spans="8:8" x14ac:dyDescent="0.3">
      <c r="H123" s="2"/>
    </row>
    <row r="124" spans="8:8" x14ac:dyDescent="0.3">
      <c r="H124" s="2"/>
    </row>
    <row r="125" spans="8:8" x14ac:dyDescent="0.3">
      <c r="H125" s="2"/>
    </row>
    <row r="126" spans="8:8" x14ac:dyDescent="0.3">
      <c r="H126" s="2"/>
    </row>
    <row r="127" spans="8:8" x14ac:dyDescent="0.3">
      <c r="H127" s="2"/>
    </row>
    <row r="128" spans="8:8" x14ac:dyDescent="0.3">
      <c r="H128" s="2"/>
    </row>
    <row r="129" spans="8:8" x14ac:dyDescent="0.3">
      <c r="H129" s="2"/>
    </row>
    <row r="130" spans="8:8" x14ac:dyDescent="0.3">
      <c r="H130" s="2"/>
    </row>
    <row r="131" spans="8:8" x14ac:dyDescent="0.3">
      <c r="H131" s="2"/>
    </row>
    <row r="132" spans="8:8" x14ac:dyDescent="0.3">
      <c r="H132" s="2"/>
    </row>
    <row r="133" spans="8:8" x14ac:dyDescent="0.3">
      <c r="H133" s="2"/>
    </row>
    <row r="134" spans="8:8" x14ac:dyDescent="0.3">
      <c r="H134" s="2"/>
    </row>
    <row r="135" spans="8:8" x14ac:dyDescent="0.3">
      <c r="H135" s="2"/>
    </row>
    <row r="136" spans="8:8" x14ac:dyDescent="0.3">
      <c r="H136" s="2"/>
    </row>
    <row r="137" spans="8:8" x14ac:dyDescent="0.3">
      <c r="H137" s="2"/>
    </row>
    <row r="138" spans="8:8" x14ac:dyDescent="0.3">
      <c r="H138" s="2"/>
    </row>
    <row r="139" spans="8:8" x14ac:dyDescent="0.3">
      <c r="H139" s="2"/>
    </row>
    <row r="140" spans="8:8" x14ac:dyDescent="0.3">
      <c r="H140" s="2"/>
    </row>
    <row r="141" spans="8:8" x14ac:dyDescent="0.3">
      <c r="H141" s="2"/>
    </row>
    <row r="142" spans="8:8" x14ac:dyDescent="0.3">
      <c r="H142" s="2"/>
    </row>
    <row r="143" spans="8:8" x14ac:dyDescent="0.3">
      <c r="H143" s="2"/>
    </row>
    <row r="144" spans="8:8" x14ac:dyDescent="0.3">
      <c r="H144" s="2"/>
    </row>
    <row r="145" spans="8:8" x14ac:dyDescent="0.3">
      <c r="H145" s="2"/>
    </row>
    <row r="146" spans="8:8" x14ac:dyDescent="0.3">
      <c r="H146" s="2"/>
    </row>
    <row r="147" spans="8:8" x14ac:dyDescent="0.3">
      <c r="H147" s="2"/>
    </row>
    <row r="148" spans="8:8" x14ac:dyDescent="0.3">
      <c r="H148" s="2"/>
    </row>
    <row r="149" spans="8:8" x14ac:dyDescent="0.3">
      <c r="H149" s="2"/>
    </row>
    <row r="150" spans="8:8" x14ac:dyDescent="0.3">
      <c r="H150" s="2"/>
    </row>
    <row r="151" spans="8:8" x14ac:dyDescent="0.3">
      <c r="H151" s="2"/>
    </row>
    <row r="152" spans="8:8" x14ac:dyDescent="0.3">
      <c r="H152" s="2"/>
    </row>
    <row r="153" spans="8:8" x14ac:dyDescent="0.3">
      <c r="H153" s="2"/>
    </row>
    <row r="154" spans="8:8" x14ac:dyDescent="0.3">
      <c r="H154" s="2"/>
    </row>
    <row r="155" spans="8:8" x14ac:dyDescent="0.3">
      <c r="H155" s="2"/>
    </row>
    <row r="156" spans="8:8" x14ac:dyDescent="0.3">
      <c r="H156" s="2"/>
    </row>
    <row r="157" spans="8:8" x14ac:dyDescent="0.3">
      <c r="H157" s="2"/>
    </row>
    <row r="158" spans="8:8" x14ac:dyDescent="0.3">
      <c r="H158" s="2"/>
    </row>
    <row r="159" spans="8:8" x14ac:dyDescent="0.3">
      <c r="H159" s="2"/>
    </row>
    <row r="160" spans="8:8" x14ac:dyDescent="0.3">
      <c r="H160" s="2"/>
    </row>
    <row r="161" spans="8:8" x14ac:dyDescent="0.3">
      <c r="H161" s="2"/>
    </row>
    <row r="162" spans="8:8" x14ac:dyDescent="0.3">
      <c r="H162" s="2"/>
    </row>
    <row r="163" spans="8:8" x14ac:dyDescent="0.3">
      <c r="H163" s="2"/>
    </row>
    <row r="164" spans="8:8" x14ac:dyDescent="0.3">
      <c r="H164" s="2"/>
    </row>
    <row r="165" spans="8:8" x14ac:dyDescent="0.3">
      <c r="H165" s="2"/>
    </row>
    <row r="166" spans="8:8" x14ac:dyDescent="0.3">
      <c r="H166" s="2"/>
    </row>
    <row r="167" spans="8:8" x14ac:dyDescent="0.3">
      <c r="H167" s="2"/>
    </row>
    <row r="168" spans="8:8" x14ac:dyDescent="0.3">
      <c r="H168" s="2"/>
    </row>
    <row r="169" spans="8:8" x14ac:dyDescent="0.3">
      <c r="H169" s="2"/>
    </row>
    <row r="170" spans="8:8" x14ac:dyDescent="0.3">
      <c r="H170" s="2"/>
    </row>
    <row r="171" spans="8:8" x14ac:dyDescent="0.3">
      <c r="H171" s="2"/>
    </row>
    <row r="172" spans="8:8" x14ac:dyDescent="0.3">
      <c r="H172" s="2"/>
    </row>
    <row r="173" spans="8:8" x14ac:dyDescent="0.3">
      <c r="H173" s="2"/>
    </row>
    <row r="174" spans="8:8" x14ac:dyDescent="0.3">
      <c r="H174" s="2"/>
    </row>
    <row r="175" spans="8:8" x14ac:dyDescent="0.3">
      <c r="H175" s="2"/>
    </row>
    <row r="176" spans="8:8" x14ac:dyDescent="0.3">
      <c r="H176" s="2"/>
    </row>
    <row r="177" spans="8:8" x14ac:dyDescent="0.3">
      <c r="H177" s="2"/>
    </row>
    <row r="178" spans="8:8" x14ac:dyDescent="0.3">
      <c r="H178" s="2"/>
    </row>
    <row r="179" spans="8:8" x14ac:dyDescent="0.3">
      <c r="H179" s="2"/>
    </row>
    <row r="180" spans="8:8" x14ac:dyDescent="0.3">
      <c r="H180" s="2"/>
    </row>
    <row r="181" spans="8:8" x14ac:dyDescent="0.3">
      <c r="H181" s="2"/>
    </row>
    <row r="182" spans="8:8" x14ac:dyDescent="0.3">
      <c r="H182" s="2"/>
    </row>
    <row r="183" spans="8:8" x14ac:dyDescent="0.3">
      <c r="H183" s="2"/>
    </row>
    <row r="184" spans="8:8" x14ac:dyDescent="0.3">
      <c r="H184" s="2"/>
    </row>
    <row r="185" spans="8:8" x14ac:dyDescent="0.3">
      <c r="H185" s="2"/>
    </row>
    <row r="186" spans="8:8" x14ac:dyDescent="0.3">
      <c r="H186" s="2"/>
    </row>
    <row r="187" spans="8:8" x14ac:dyDescent="0.3">
      <c r="H187" s="2"/>
    </row>
    <row r="188" spans="8:8" x14ac:dyDescent="0.3">
      <c r="H188" s="2"/>
    </row>
    <row r="189" spans="8:8" x14ac:dyDescent="0.3">
      <c r="H189" s="2"/>
    </row>
    <row r="190" spans="8:8" x14ac:dyDescent="0.3">
      <c r="H190" s="2"/>
    </row>
    <row r="191" spans="8:8" x14ac:dyDescent="0.3">
      <c r="H191" s="2"/>
    </row>
    <row r="192" spans="8:8" x14ac:dyDescent="0.3">
      <c r="H192" s="2"/>
    </row>
    <row r="193" spans="8:8" x14ac:dyDescent="0.3">
      <c r="H193" s="2"/>
    </row>
    <row r="194" spans="8:8" x14ac:dyDescent="0.3">
      <c r="H194" s="2"/>
    </row>
    <row r="195" spans="8:8" x14ac:dyDescent="0.3">
      <c r="H195" s="2"/>
    </row>
    <row r="196" spans="8:8" x14ac:dyDescent="0.3">
      <c r="H196" s="2"/>
    </row>
    <row r="197" spans="8:8" x14ac:dyDescent="0.3">
      <c r="H197" s="2"/>
    </row>
    <row r="198" spans="8:8" x14ac:dyDescent="0.3">
      <c r="H198" s="2"/>
    </row>
    <row r="199" spans="8:8" x14ac:dyDescent="0.3">
      <c r="H199" s="2"/>
    </row>
    <row r="200" spans="8:8" x14ac:dyDescent="0.3">
      <c r="H200" s="2"/>
    </row>
    <row r="201" spans="8:8" x14ac:dyDescent="0.3">
      <c r="H201" s="2"/>
    </row>
    <row r="202" spans="8:8" x14ac:dyDescent="0.3">
      <c r="H202" s="2"/>
    </row>
    <row r="203" spans="8:8" x14ac:dyDescent="0.3">
      <c r="H203" s="2"/>
    </row>
    <row r="204" spans="8:8" x14ac:dyDescent="0.3">
      <c r="H204" s="2"/>
    </row>
    <row r="205" spans="8:8" x14ac:dyDescent="0.3">
      <c r="H205" s="2"/>
    </row>
    <row r="206" spans="8:8" x14ac:dyDescent="0.3">
      <c r="H206" s="2"/>
    </row>
    <row r="207" spans="8:8" x14ac:dyDescent="0.3">
      <c r="H207" s="2"/>
    </row>
    <row r="208" spans="8:8" x14ac:dyDescent="0.3">
      <c r="H208" s="2"/>
    </row>
    <row r="209" spans="8:8" x14ac:dyDescent="0.3">
      <c r="H209" s="2"/>
    </row>
    <row r="210" spans="8:8" x14ac:dyDescent="0.3">
      <c r="H210" s="2"/>
    </row>
    <row r="211" spans="8:8" x14ac:dyDescent="0.3">
      <c r="H211" s="2"/>
    </row>
    <row r="212" spans="8:8" x14ac:dyDescent="0.3">
      <c r="H212" s="2"/>
    </row>
    <row r="213" spans="8:8" x14ac:dyDescent="0.3">
      <c r="H213" s="2"/>
    </row>
    <row r="214" spans="8:8" x14ac:dyDescent="0.3">
      <c r="H214" s="2"/>
    </row>
    <row r="215" spans="8:8" x14ac:dyDescent="0.3">
      <c r="H215" s="2"/>
    </row>
    <row r="216" spans="8:8" x14ac:dyDescent="0.3">
      <c r="H216" s="2"/>
    </row>
    <row r="217" spans="8:8" x14ac:dyDescent="0.3">
      <c r="H217" s="2"/>
    </row>
    <row r="218" spans="8:8" x14ac:dyDescent="0.3">
      <c r="H218" s="2"/>
    </row>
    <row r="219" spans="8:8" x14ac:dyDescent="0.3">
      <c r="H219" s="2"/>
    </row>
    <row r="220" spans="8:8" x14ac:dyDescent="0.3">
      <c r="H220" s="2"/>
    </row>
    <row r="221" spans="8:8" x14ac:dyDescent="0.3">
      <c r="H221" s="2"/>
    </row>
    <row r="222" spans="8:8" x14ac:dyDescent="0.3">
      <c r="H222" s="2"/>
    </row>
    <row r="223" spans="8:8" x14ac:dyDescent="0.3">
      <c r="H223" s="2"/>
    </row>
    <row r="224" spans="8:8" x14ac:dyDescent="0.3">
      <c r="H224" s="2"/>
    </row>
    <row r="225" spans="8:8" x14ac:dyDescent="0.3">
      <c r="H225" s="2"/>
    </row>
    <row r="226" spans="8:8" x14ac:dyDescent="0.3">
      <c r="H226" s="2"/>
    </row>
    <row r="227" spans="8:8" x14ac:dyDescent="0.3">
      <c r="H227" s="2"/>
    </row>
    <row r="228" spans="8:8" x14ac:dyDescent="0.3">
      <c r="H228" s="2"/>
    </row>
    <row r="229" spans="8:8" x14ac:dyDescent="0.3">
      <c r="H229" s="2"/>
    </row>
    <row r="230" spans="8:8" x14ac:dyDescent="0.3">
      <c r="H230" s="2"/>
    </row>
    <row r="231" spans="8:8" x14ac:dyDescent="0.3">
      <c r="H231" s="2"/>
    </row>
    <row r="232" spans="8:8" x14ac:dyDescent="0.3">
      <c r="H232" s="2"/>
    </row>
    <row r="233" spans="8:8" x14ac:dyDescent="0.3">
      <c r="H233" s="2"/>
    </row>
    <row r="234" spans="8:8" x14ac:dyDescent="0.3">
      <c r="H234" s="2"/>
    </row>
    <row r="235" spans="8:8" x14ac:dyDescent="0.3">
      <c r="H235" s="2"/>
    </row>
    <row r="236" spans="8:8" x14ac:dyDescent="0.3">
      <c r="H236" s="2"/>
    </row>
    <row r="237" spans="8:8" x14ac:dyDescent="0.3">
      <c r="H237" s="2"/>
    </row>
    <row r="238" spans="8:8" x14ac:dyDescent="0.3">
      <c r="H238" s="2"/>
    </row>
    <row r="239" spans="8:8" x14ac:dyDescent="0.3">
      <c r="H239" s="2"/>
    </row>
    <row r="240" spans="8:8" x14ac:dyDescent="0.3">
      <c r="H240" s="2"/>
    </row>
    <row r="241" spans="8:8" x14ac:dyDescent="0.3">
      <c r="H241" s="2"/>
    </row>
    <row r="242" spans="8:8" x14ac:dyDescent="0.3">
      <c r="H242" s="2"/>
    </row>
    <row r="243" spans="8:8" x14ac:dyDescent="0.3">
      <c r="H243" s="2"/>
    </row>
    <row r="244" spans="8:8" x14ac:dyDescent="0.3">
      <c r="H244" s="2"/>
    </row>
    <row r="245" spans="8:8" x14ac:dyDescent="0.3">
      <c r="H245" s="2"/>
    </row>
    <row r="246" spans="8:8" x14ac:dyDescent="0.3">
      <c r="H246" s="2"/>
    </row>
    <row r="247" spans="8:8" x14ac:dyDescent="0.3">
      <c r="H247" s="2"/>
    </row>
    <row r="248" spans="8:8" x14ac:dyDescent="0.3">
      <c r="H248" s="2"/>
    </row>
    <row r="249" spans="8:8" x14ac:dyDescent="0.3">
      <c r="H249" s="2"/>
    </row>
    <row r="250" spans="8:8" x14ac:dyDescent="0.3">
      <c r="H250" s="2"/>
    </row>
    <row r="251" spans="8:8" x14ac:dyDescent="0.3">
      <c r="H251" s="2"/>
    </row>
    <row r="252" spans="8:8" x14ac:dyDescent="0.3">
      <c r="H252" s="2"/>
    </row>
    <row r="253" spans="8:8" x14ac:dyDescent="0.3">
      <c r="H253" s="2"/>
    </row>
    <row r="254" spans="8:8" x14ac:dyDescent="0.3">
      <c r="H254" s="2"/>
    </row>
    <row r="255" spans="8:8" x14ac:dyDescent="0.3">
      <c r="H255" s="2"/>
    </row>
    <row r="256" spans="8:8" x14ac:dyDescent="0.3">
      <c r="H256" s="2"/>
    </row>
    <row r="257" spans="8:8" x14ac:dyDescent="0.3">
      <c r="H257" s="2"/>
    </row>
    <row r="258" spans="8:8" x14ac:dyDescent="0.3">
      <c r="H258" s="2"/>
    </row>
    <row r="259" spans="8:8" x14ac:dyDescent="0.3">
      <c r="H259" s="2"/>
    </row>
    <row r="260" spans="8:8" x14ac:dyDescent="0.3">
      <c r="H260" s="2"/>
    </row>
    <row r="261" spans="8:8" x14ac:dyDescent="0.3">
      <c r="H261" s="2"/>
    </row>
    <row r="262" spans="8:8" x14ac:dyDescent="0.3">
      <c r="H262" s="2"/>
    </row>
    <row r="263" spans="8:8" x14ac:dyDescent="0.3">
      <c r="H263" s="2"/>
    </row>
    <row r="264" spans="8:8" x14ac:dyDescent="0.3">
      <c r="H264" s="2"/>
    </row>
    <row r="265" spans="8:8" x14ac:dyDescent="0.3">
      <c r="H265" s="2"/>
    </row>
    <row r="266" spans="8:8" x14ac:dyDescent="0.3">
      <c r="H266" s="2"/>
    </row>
    <row r="267" spans="8:8" x14ac:dyDescent="0.3">
      <c r="H267" s="2"/>
    </row>
    <row r="268" spans="8:8" x14ac:dyDescent="0.3">
      <c r="H268" s="2"/>
    </row>
    <row r="269" spans="8:8" x14ac:dyDescent="0.3">
      <c r="H269" s="2"/>
    </row>
    <row r="270" spans="8:8" x14ac:dyDescent="0.3">
      <c r="H270" s="2"/>
    </row>
    <row r="271" spans="8:8" x14ac:dyDescent="0.3">
      <c r="H271" s="2"/>
    </row>
    <row r="272" spans="8:8" x14ac:dyDescent="0.3">
      <c r="H272" s="2"/>
    </row>
    <row r="273" spans="8:8" x14ac:dyDescent="0.3">
      <c r="H273" s="2"/>
    </row>
    <row r="274" spans="8:8" x14ac:dyDescent="0.3">
      <c r="H274" s="2"/>
    </row>
    <row r="275" spans="8:8" x14ac:dyDescent="0.3">
      <c r="H275" s="2"/>
    </row>
    <row r="276" spans="8:8" x14ac:dyDescent="0.3">
      <c r="H276" s="2"/>
    </row>
    <row r="277" spans="8:8" x14ac:dyDescent="0.3">
      <c r="H277" s="2"/>
    </row>
    <row r="278" spans="8:8" x14ac:dyDescent="0.3">
      <c r="H278" s="2"/>
    </row>
    <row r="279" spans="8:8" x14ac:dyDescent="0.3">
      <c r="H279" s="2"/>
    </row>
    <row r="280" spans="8:8" x14ac:dyDescent="0.3">
      <c r="H280" s="2"/>
    </row>
    <row r="281" spans="8:8" x14ac:dyDescent="0.3">
      <c r="H281" s="2"/>
    </row>
    <row r="282" spans="8:8" x14ac:dyDescent="0.3">
      <c r="H282" s="2"/>
    </row>
    <row r="283" spans="8:8" x14ac:dyDescent="0.3">
      <c r="H283" s="2"/>
    </row>
    <row r="284" spans="8:8" x14ac:dyDescent="0.3">
      <c r="H284" s="2"/>
    </row>
    <row r="285" spans="8:8" x14ac:dyDescent="0.3">
      <c r="H285" s="2"/>
    </row>
    <row r="286" spans="8:8" x14ac:dyDescent="0.3">
      <c r="H286" s="2"/>
    </row>
    <row r="287" spans="8:8" x14ac:dyDescent="0.3">
      <c r="H287" s="2"/>
    </row>
    <row r="288" spans="8:8" x14ac:dyDescent="0.3">
      <c r="H288" s="2"/>
    </row>
    <row r="289" spans="8:8" x14ac:dyDescent="0.3">
      <c r="H289" s="2"/>
    </row>
    <row r="290" spans="8:8" x14ac:dyDescent="0.3">
      <c r="H290" s="2"/>
    </row>
    <row r="291" spans="8:8" x14ac:dyDescent="0.3">
      <c r="H291" s="2"/>
    </row>
    <row r="292" spans="8:8" x14ac:dyDescent="0.3">
      <c r="H292" s="2"/>
    </row>
    <row r="293" spans="8:8" x14ac:dyDescent="0.3">
      <c r="H293" s="2"/>
    </row>
    <row r="294" spans="8:8" x14ac:dyDescent="0.3">
      <c r="H294" s="2"/>
    </row>
    <row r="295" spans="8:8" x14ac:dyDescent="0.3">
      <c r="H295" s="2"/>
    </row>
    <row r="296" spans="8:8" x14ac:dyDescent="0.3">
      <c r="H296" s="2"/>
    </row>
    <row r="297" spans="8:8" x14ac:dyDescent="0.3">
      <c r="H297" s="2"/>
    </row>
    <row r="298" spans="8:8" x14ac:dyDescent="0.3">
      <c r="H298" s="2"/>
    </row>
    <row r="299" spans="8:8" x14ac:dyDescent="0.3">
      <c r="H299" s="2"/>
    </row>
    <row r="300" spans="8:8" x14ac:dyDescent="0.3">
      <c r="H300" s="2"/>
    </row>
    <row r="301" spans="8:8" x14ac:dyDescent="0.3">
      <c r="H301" s="2"/>
    </row>
    <row r="302" spans="8:8" x14ac:dyDescent="0.3">
      <c r="H302" s="2"/>
    </row>
    <row r="303" spans="8:8" x14ac:dyDescent="0.3">
      <c r="H303" s="2"/>
    </row>
    <row r="304" spans="8:8" x14ac:dyDescent="0.3">
      <c r="H304" s="2"/>
    </row>
    <row r="305" spans="8:8" x14ac:dyDescent="0.3">
      <c r="H305" s="2"/>
    </row>
    <row r="306" spans="8:8" x14ac:dyDescent="0.3">
      <c r="H306" s="2"/>
    </row>
    <row r="307" spans="8:8" x14ac:dyDescent="0.3">
      <c r="H307" s="2"/>
    </row>
    <row r="308" spans="8:8" x14ac:dyDescent="0.3">
      <c r="H308" s="2"/>
    </row>
    <row r="309" spans="8:8" x14ac:dyDescent="0.3">
      <c r="H309" s="2"/>
    </row>
    <row r="310" spans="8:8" x14ac:dyDescent="0.3">
      <c r="H310" s="2"/>
    </row>
    <row r="311" spans="8:8" x14ac:dyDescent="0.3">
      <c r="H311" s="2"/>
    </row>
    <row r="312" spans="8:8" x14ac:dyDescent="0.3">
      <c r="H312" s="2"/>
    </row>
    <row r="313" spans="8:8" x14ac:dyDescent="0.3">
      <c r="H313" s="2"/>
    </row>
    <row r="314" spans="8:8" x14ac:dyDescent="0.3">
      <c r="H314" s="2"/>
    </row>
    <row r="315" spans="8:8" x14ac:dyDescent="0.3">
      <c r="H315" s="2"/>
    </row>
    <row r="316" spans="8:8" x14ac:dyDescent="0.3">
      <c r="H316" s="2"/>
    </row>
    <row r="317" spans="8:8" x14ac:dyDescent="0.3">
      <c r="H317" s="2"/>
    </row>
    <row r="318" spans="8:8" x14ac:dyDescent="0.3">
      <c r="H318" s="2"/>
    </row>
    <row r="319" spans="8:8" x14ac:dyDescent="0.3">
      <c r="H319" s="2"/>
    </row>
    <row r="320" spans="8:8" x14ac:dyDescent="0.3">
      <c r="H320" s="2"/>
    </row>
    <row r="321" spans="8:8" x14ac:dyDescent="0.3">
      <c r="H321" s="2"/>
    </row>
    <row r="322" spans="8:8" x14ac:dyDescent="0.3">
      <c r="H322" s="2"/>
    </row>
    <row r="323" spans="8:8" x14ac:dyDescent="0.3">
      <c r="H323" s="2"/>
    </row>
    <row r="324" spans="8:8" x14ac:dyDescent="0.3">
      <c r="H324" s="2"/>
    </row>
    <row r="325" spans="8:8" x14ac:dyDescent="0.3">
      <c r="H325" s="2"/>
    </row>
    <row r="326" spans="8:8" x14ac:dyDescent="0.3">
      <c r="H326" s="2"/>
    </row>
    <row r="327" spans="8:8" x14ac:dyDescent="0.3">
      <c r="H327" s="2"/>
    </row>
    <row r="328" spans="8:8" x14ac:dyDescent="0.3">
      <c r="H328" s="2"/>
    </row>
    <row r="329" spans="8:8" x14ac:dyDescent="0.3">
      <c r="H329" s="2"/>
    </row>
    <row r="330" spans="8:8" x14ac:dyDescent="0.3">
      <c r="H330" s="2"/>
    </row>
    <row r="331" spans="8:8" x14ac:dyDescent="0.3">
      <c r="H331" s="2"/>
    </row>
    <row r="332" spans="8:8" x14ac:dyDescent="0.3">
      <c r="H332" s="2"/>
    </row>
    <row r="333" spans="8:8" x14ac:dyDescent="0.3">
      <c r="H333" s="2"/>
    </row>
    <row r="334" spans="8:8" x14ac:dyDescent="0.3">
      <c r="H334" s="2"/>
    </row>
    <row r="335" spans="8:8" x14ac:dyDescent="0.3">
      <c r="H335" s="2"/>
    </row>
    <row r="336" spans="8:8" x14ac:dyDescent="0.3">
      <c r="H336" s="2"/>
    </row>
    <row r="337" spans="8:8" x14ac:dyDescent="0.3">
      <c r="H337" s="2"/>
    </row>
    <row r="338" spans="8:8" x14ac:dyDescent="0.3">
      <c r="H338" s="2"/>
    </row>
    <row r="339" spans="8:8" x14ac:dyDescent="0.3">
      <c r="H339" s="2"/>
    </row>
    <row r="340" spans="8:8" x14ac:dyDescent="0.3">
      <c r="H340" s="2"/>
    </row>
    <row r="341" spans="8:8" x14ac:dyDescent="0.3">
      <c r="H341" s="2"/>
    </row>
    <row r="342" spans="8:8" x14ac:dyDescent="0.3">
      <c r="H342" s="2"/>
    </row>
    <row r="343" spans="8:8" x14ac:dyDescent="0.3">
      <c r="H343" s="2"/>
    </row>
    <row r="344" spans="8:8" x14ac:dyDescent="0.3">
      <c r="H344" s="2"/>
    </row>
    <row r="345" spans="8:8" x14ac:dyDescent="0.3">
      <c r="H345" s="2"/>
    </row>
    <row r="346" spans="8:8" x14ac:dyDescent="0.3">
      <c r="H346" s="2"/>
    </row>
    <row r="347" spans="8:8" x14ac:dyDescent="0.3">
      <c r="H347" s="2"/>
    </row>
    <row r="348" spans="8:8" x14ac:dyDescent="0.3">
      <c r="H348" s="2"/>
    </row>
    <row r="349" spans="8:8" x14ac:dyDescent="0.3">
      <c r="H349" s="2"/>
    </row>
    <row r="350" spans="8:8" x14ac:dyDescent="0.3">
      <c r="H350" s="2"/>
    </row>
    <row r="351" spans="8:8" x14ac:dyDescent="0.3">
      <c r="H351" s="2"/>
    </row>
    <row r="352" spans="8:8" x14ac:dyDescent="0.3">
      <c r="H352" s="2"/>
    </row>
    <row r="353" spans="8:8" x14ac:dyDescent="0.3">
      <c r="H353" s="2"/>
    </row>
    <row r="354" spans="8:8" x14ac:dyDescent="0.3">
      <c r="H354" s="2"/>
    </row>
    <row r="355" spans="8:8" x14ac:dyDescent="0.3">
      <c r="H355" s="2"/>
    </row>
    <row r="356" spans="8:8" x14ac:dyDescent="0.3">
      <c r="H356" s="2"/>
    </row>
    <row r="357" spans="8:8" x14ac:dyDescent="0.3">
      <c r="H357" s="2"/>
    </row>
    <row r="358" spans="8:8" x14ac:dyDescent="0.3">
      <c r="H358" s="2"/>
    </row>
    <row r="359" spans="8:8" x14ac:dyDescent="0.3">
      <c r="H359" s="2"/>
    </row>
    <row r="360" spans="8:8" x14ac:dyDescent="0.3">
      <c r="H360" s="2"/>
    </row>
    <row r="361" spans="8:8" x14ac:dyDescent="0.3">
      <c r="H361" s="2"/>
    </row>
    <row r="362" spans="8:8" x14ac:dyDescent="0.3">
      <c r="H362" s="2"/>
    </row>
    <row r="363" spans="8:8" x14ac:dyDescent="0.3">
      <c r="H363" s="2"/>
    </row>
    <row r="364" spans="8:8" x14ac:dyDescent="0.3">
      <c r="H364" s="2"/>
    </row>
    <row r="365" spans="8:8" x14ac:dyDescent="0.3">
      <c r="H365" s="2"/>
    </row>
    <row r="366" spans="8:8" x14ac:dyDescent="0.3">
      <c r="H366" s="2"/>
    </row>
    <row r="367" spans="8:8" x14ac:dyDescent="0.3">
      <c r="H367" s="2"/>
    </row>
    <row r="368" spans="8:8" x14ac:dyDescent="0.3">
      <c r="H368" s="2"/>
    </row>
    <row r="369" spans="8:8" x14ac:dyDescent="0.3">
      <c r="H369" s="2"/>
    </row>
    <row r="370" spans="8:8" x14ac:dyDescent="0.3">
      <c r="H370" s="2"/>
    </row>
    <row r="371" spans="8:8" x14ac:dyDescent="0.3">
      <c r="H371" s="2"/>
    </row>
    <row r="372" spans="8:8" x14ac:dyDescent="0.3">
      <c r="H372" s="2"/>
    </row>
    <row r="373" spans="8:8" x14ac:dyDescent="0.3">
      <c r="H373" s="2"/>
    </row>
    <row r="374" spans="8:8" x14ac:dyDescent="0.3">
      <c r="H374" s="2"/>
    </row>
    <row r="375" spans="8:8" x14ac:dyDescent="0.3">
      <c r="H375" s="2"/>
    </row>
    <row r="376" spans="8:8" x14ac:dyDescent="0.3">
      <c r="H376" s="2"/>
    </row>
    <row r="377" spans="8:8" x14ac:dyDescent="0.3">
      <c r="H377" s="2"/>
    </row>
    <row r="378" spans="8:8" x14ac:dyDescent="0.3">
      <c r="H378" s="2"/>
    </row>
    <row r="379" spans="8:8" x14ac:dyDescent="0.3">
      <c r="H379" s="2"/>
    </row>
    <row r="380" spans="8:8" x14ac:dyDescent="0.3">
      <c r="H380" s="2"/>
    </row>
    <row r="381" spans="8:8" x14ac:dyDescent="0.3">
      <c r="H381" s="2"/>
    </row>
    <row r="382" spans="8:8" x14ac:dyDescent="0.3">
      <c r="H382" s="2"/>
    </row>
    <row r="383" spans="8:8" x14ac:dyDescent="0.3">
      <c r="H383" s="2"/>
    </row>
    <row r="384" spans="8:8" x14ac:dyDescent="0.3">
      <c r="H384" s="2"/>
    </row>
    <row r="385" spans="8:8" x14ac:dyDescent="0.3">
      <c r="H385" s="2"/>
    </row>
    <row r="386" spans="8:8" x14ac:dyDescent="0.3">
      <c r="H386" s="2"/>
    </row>
    <row r="387" spans="8:8" x14ac:dyDescent="0.3">
      <c r="H387" s="2"/>
    </row>
    <row r="388" spans="8:8" x14ac:dyDescent="0.3">
      <c r="H388" s="2"/>
    </row>
    <row r="389" spans="8:8" x14ac:dyDescent="0.3">
      <c r="H389" s="2"/>
    </row>
    <row r="390" spans="8:8" x14ac:dyDescent="0.3">
      <c r="H390" s="2"/>
    </row>
    <row r="391" spans="8:8" x14ac:dyDescent="0.3">
      <c r="H391" s="2"/>
    </row>
    <row r="392" spans="8:8" x14ac:dyDescent="0.3">
      <c r="H392" s="2"/>
    </row>
    <row r="393" spans="8:8" x14ac:dyDescent="0.3">
      <c r="H393" s="2"/>
    </row>
    <row r="394" spans="8:8" x14ac:dyDescent="0.3">
      <c r="H394" s="2"/>
    </row>
    <row r="395" spans="8:8" x14ac:dyDescent="0.3">
      <c r="H395" s="2"/>
    </row>
    <row r="396" spans="8:8" x14ac:dyDescent="0.3">
      <c r="H396" s="2"/>
    </row>
    <row r="397" spans="8:8" x14ac:dyDescent="0.3">
      <c r="H397" s="2"/>
    </row>
    <row r="398" spans="8:8" x14ac:dyDescent="0.3">
      <c r="H398" s="2"/>
    </row>
    <row r="399" spans="8:8" x14ac:dyDescent="0.3">
      <c r="H399" s="2"/>
    </row>
    <row r="400" spans="8:8" x14ac:dyDescent="0.3">
      <c r="H400" s="2"/>
    </row>
    <row r="401" spans="8:8" x14ac:dyDescent="0.3">
      <c r="H401" s="2"/>
    </row>
    <row r="402" spans="8:8" x14ac:dyDescent="0.3">
      <c r="H402" s="2"/>
    </row>
    <row r="403" spans="8:8" x14ac:dyDescent="0.3">
      <c r="H403" s="2"/>
    </row>
    <row r="404" spans="8:8" x14ac:dyDescent="0.3">
      <c r="H404" s="2"/>
    </row>
    <row r="405" spans="8:8" x14ac:dyDescent="0.3">
      <c r="H405" s="2"/>
    </row>
    <row r="406" spans="8:8" x14ac:dyDescent="0.3">
      <c r="H406" s="2"/>
    </row>
    <row r="407" spans="8:8" x14ac:dyDescent="0.3">
      <c r="H407" s="2"/>
    </row>
    <row r="408" spans="8:8" x14ac:dyDescent="0.3">
      <c r="H408" s="2"/>
    </row>
    <row r="409" spans="8:8" x14ac:dyDescent="0.3">
      <c r="H409" s="2"/>
    </row>
    <row r="410" spans="8:8" x14ac:dyDescent="0.3">
      <c r="H410" s="2"/>
    </row>
    <row r="411" spans="8:8" x14ac:dyDescent="0.3">
      <c r="H411" s="2"/>
    </row>
    <row r="412" spans="8:8" x14ac:dyDescent="0.3">
      <c r="H412" s="2"/>
    </row>
    <row r="413" spans="8:8" x14ac:dyDescent="0.3">
      <c r="H413" s="2"/>
    </row>
    <row r="414" spans="8:8" x14ac:dyDescent="0.3">
      <c r="H414" s="2"/>
    </row>
    <row r="415" spans="8:8" x14ac:dyDescent="0.3">
      <c r="H415" s="2"/>
    </row>
    <row r="416" spans="8:8" x14ac:dyDescent="0.3">
      <c r="H416" s="2"/>
    </row>
    <row r="417" spans="8:8" x14ac:dyDescent="0.3">
      <c r="H417" s="2"/>
    </row>
    <row r="418" spans="8:8" x14ac:dyDescent="0.3">
      <c r="H418" s="2"/>
    </row>
    <row r="419" spans="8:8" x14ac:dyDescent="0.3">
      <c r="H419" s="2"/>
    </row>
    <row r="420" spans="8:8" x14ac:dyDescent="0.3">
      <c r="H420" s="2"/>
    </row>
    <row r="421" spans="8:8" x14ac:dyDescent="0.3">
      <c r="H421" s="2"/>
    </row>
    <row r="422" spans="8:8" x14ac:dyDescent="0.3">
      <c r="H422" s="2"/>
    </row>
    <row r="423" spans="8:8" x14ac:dyDescent="0.3">
      <c r="H423" s="2"/>
    </row>
    <row r="424" spans="8:8" x14ac:dyDescent="0.3">
      <c r="H424" s="2"/>
    </row>
    <row r="425" spans="8:8" x14ac:dyDescent="0.3">
      <c r="H425" s="2"/>
    </row>
    <row r="426" spans="8:8" x14ac:dyDescent="0.3">
      <c r="H426" s="2"/>
    </row>
    <row r="427" spans="8:8" x14ac:dyDescent="0.3">
      <c r="H427" s="2"/>
    </row>
    <row r="428" spans="8:8" x14ac:dyDescent="0.3">
      <c r="H428" s="2"/>
    </row>
    <row r="429" spans="8:8" x14ac:dyDescent="0.3">
      <c r="H429" s="2"/>
    </row>
    <row r="430" spans="8:8" x14ac:dyDescent="0.3">
      <c r="H430" s="2"/>
    </row>
    <row r="431" spans="8:8" x14ac:dyDescent="0.3">
      <c r="H431" s="2"/>
    </row>
    <row r="432" spans="8:8" x14ac:dyDescent="0.3">
      <c r="H432" s="2"/>
    </row>
    <row r="433" spans="8:8" x14ac:dyDescent="0.3">
      <c r="H433" s="2"/>
    </row>
    <row r="434" spans="8:8" x14ac:dyDescent="0.3">
      <c r="H434" s="2"/>
    </row>
    <row r="435" spans="8:8" x14ac:dyDescent="0.3">
      <c r="H435" s="2"/>
    </row>
    <row r="436" spans="8:8" x14ac:dyDescent="0.3">
      <c r="H436" s="2"/>
    </row>
    <row r="437" spans="8:8" x14ac:dyDescent="0.3">
      <c r="H437" s="2"/>
    </row>
    <row r="438" spans="8:8" x14ac:dyDescent="0.3">
      <c r="H438" s="2"/>
    </row>
    <row r="439" spans="8:8" x14ac:dyDescent="0.3">
      <c r="H439" s="2"/>
    </row>
    <row r="440" spans="8:8" x14ac:dyDescent="0.3">
      <c r="H440" s="2"/>
    </row>
    <row r="441" spans="8:8" x14ac:dyDescent="0.3">
      <c r="H441" s="2"/>
    </row>
    <row r="442" spans="8:8" x14ac:dyDescent="0.3">
      <c r="H442" s="2"/>
    </row>
    <row r="443" spans="8:8" x14ac:dyDescent="0.3">
      <c r="H443" s="2"/>
    </row>
    <row r="444" spans="8:8" x14ac:dyDescent="0.3">
      <c r="H444" s="2"/>
    </row>
    <row r="445" spans="8:8" x14ac:dyDescent="0.3">
      <c r="H445" s="2"/>
    </row>
    <row r="446" spans="8:8" x14ac:dyDescent="0.3">
      <c r="H446" s="2"/>
    </row>
    <row r="447" spans="8:8" x14ac:dyDescent="0.3">
      <c r="H447" s="2"/>
    </row>
    <row r="448" spans="8:8" x14ac:dyDescent="0.3">
      <c r="H448" s="2"/>
    </row>
    <row r="449" spans="8:8" x14ac:dyDescent="0.3">
      <c r="H449" s="2"/>
    </row>
    <row r="450" spans="8:8" x14ac:dyDescent="0.3">
      <c r="H450" s="2"/>
    </row>
    <row r="451" spans="8:8" x14ac:dyDescent="0.3">
      <c r="H451" s="2"/>
    </row>
    <row r="452" spans="8:8" x14ac:dyDescent="0.3">
      <c r="H452" s="2"/>
    </row>
    <row r="453" spans="8:8" x14ac:dyDescent="0.3">
      <c r="H453" s="2"/>
    </row>
    <row r="454" spans="8:8" x14ac:dyDescent="0.3">
      <c r="H454" s="2"/>
    </row>
    <row r="455" spans="8:8" x14ac:dyDescent="0.3">
      <c r="H455" s="2"/>
    </row>
    <row r="456" spans="8:8" x14ac:dyDescent="0.3">
      <c r="H456" s="2"/>
    </row>
    <row r="457" spans="8:8" x14ac:dyDescent="0.3">
      <c r="H457" s="2"/>
    </row>
    <row r="458" spans="8:8" x14ac:dyDescent="0.3">
      <c r="H458" s="2"/>
    </row>
    <row r="459" spans="8:8" x14ac:dyDescent="0.3">
      <c r="H459" s="2"/>
    </row>
    <row r="460" spans="8:8" x14ac:dyDescent="0.3">
      <c r="H460" s="2"/>
    </row>
    <row r="461" spans="8:8" x14ac:dyDescent="0.3">
      <c r="H461" s="2"/>
    </row>
    <row r="462" spans="8:8" x14ac:dyDescent="0.3">
      <c r="H462" s="2"/>
    </row>
    <row r="463" spans="8:8" x14ac:dyDescent="0.3">
      <c r="H463" s="2"/>
    </row>
    <row r="464" spans="8:8" x14ac:dyDescent="0.3">
      <c r="H464" s="2"/>
    </row>
    <row r="465" spans="8:8" x14ac:dyDescent="0.3">
      <c r="H465" s="2"/>
    </row>
    <row r="466" spans="8:8" x14ac:dyDescent="0.3">
      <c r="H466" s="2"/>
    </row>
    <row r="467" spans="8:8" x14ac:dyDescent="0.3">
      <c r="H467" s="2"/>
    </row>
    <row r="468" spans="8:8" x14ac:dyDescent="0.3">
      <c r="H468" s="2"/>
    </row>
    <row r="469" spans="8:8" x14ac:dyDescent="0.3">
      <c r="H469" s="2"/>
    </row>
    <row r="470" spans="8:8" x14ac:dyDescent="0.3">
      <c r="H470" s="2"/>
    </row>
    <row r="471" spans="8:8" x14ac:dyDescent="0.3">
      <c r="H471" s="2"/>
    </row>
    <row r="472" spans="8:8" x14ac:dyDescent="0.3">
      <c r="H472" s="2"/>
    </row>
    <row r="473" spans="8:8" x14ac:dyDescent="0.3">
      <c r="H473" s="2"/>
    </row>
    <row r="474" spans="8:8" x14ac:dyDescent="0.3">
      <c r="H474" s="2"/>
    </row>
    <row r="475" spans="8:8" x14ac:dyDescent="0.3">
      <c r="H475" s="2"/>
    </row>
    <row r="476" spans="8:8" x14ac:dyDescent="0.3">
      <c r="H476" s="2"/>
    </row>
    <row r="477" spans="8:8" x14ac:dyDescent="0.3">
      <c r="H477" s="2"/>
    </row>
    <row r="478" spans="8:8" x14ac:dyDescent="0.3">
      <c r="H478" s="2"/>
    </row>
    <row r="479" spans="8:8" x14ac:dyDescent="0.3">
      <c r="H479" s="2"/>
    </row>
    <row r="480" spans="8:8" x14ac:dyDescent="0.3">
      <c r="H480" s="2"/>
    </row>
    <row r="481" spans="8:8" x14ac:dyDescent="0.3">
      <c r="H481" s="2"/>
    </row>
    <row r="482" spans="8:8" x14ac:dyDescent="0.3">
      <c r="H482" s="2"/>
    </row>
    <row r="483" spans="8:8" x14ac:dyDescent="0.3">
      <c r="H483" s="2"/>
    </row>
    <row r="484" spans="8:8" x14ac:dyDescent="0.3">
      <c r="H484" s="2"/>
    </row>
    <row r="485" spans="8:8" x14ac:dyDescent="0.3">
      <c r="H485" s="2"/>
    </row>
    <row r="486" spans="8:8" x14ac:dyDescent="0.3">
      <c r="H486" s="2"/>
    </row>
    <row r="487" spans="8:8" x14ac:dyDescent="0.3">
      <c r="H487" s="2"/>
    </row>
    <row r="488" spans="8:8" x14ac:dyDescent="0.3">
      <c r="H488" s="2"/>
    </row>
    <row r="489" spans="8:8" x14ac:dyDescent="0.3">
      <c r="H489" s="2"/>
    </row>
    <row r="490" spans="8:8" x14ac:dyDescent="0.3">
      <c r="H490" s="2"/>
    </row>
    <row r="491" spans="8:8" x14ac:dyDescent="0.3">
      <c r="H491" s="2"/>
    </row>
    <row r="492" spans="8:8" x14ac:dyDescent="0.3">
      <c r="H492" s="2"/>
    </row>
    <row r="493" spans="8:8" x14ac:dyDescent="0.3">
      <c r="H493" s="2"/>
    </row>
    <row r="494" spans="8:8" x14ac:dyDescent="0.3">
      <c r="H494" s="2"/>
    </row>
    <row r="495" spans="8:8" x14ac:dyDescent="0.3">
      <c r="H495" s="2"/>
    </row>
    <row r="496" spans="8:8" x14ac:dyDescent="0.3">
      <c r="H496" s="2"/>
    </row>
    <row r="497" spans="8:8" x14ac:dyDescent="0.3">
      <c r="H497" s="2"/>
    </row>
    <row r="498" spans="8:8" x14ac:dyDescent="0.3">
      <c r="H498" s="2"/>
    </row>
    <row r="499" spans="8:8" x14ac:dyDescent="0.3">
      <c r="H499" s="2"/>
    </row>
    <row r="500" spans="8:8" x14ac:dyDescent="0.3">
      <c r="H500" s="2"/>
    </row>
    <row r="501" spans="8:8" x14ac:dyDescent="0.3">
      <c r="H501" s="2"/>
    </row>
    <row r="502" spans="8:8" x14ac:dyDescent="0.3">
      <c r="H502" s="2"/>
    </row>
    <row r="503" spans="8:8" x14ac:dyDescent="0.3">
      <c r="H503" s="2"/>
    </row>
    <row r="504" spans="8:8" x14ac:dyDescent="0.3">
      <c r="H504" s="2"/>
    </row>
    <row r="505" spans="8:8" x14ac:dyDescent="0.3">
      <c r="H505" s="2"/>
    </row>
    <row r="506" spans="8:8" x14ac:dyDescent="0.3">
      <c r="H506" s="2"/>
    </row>
    <row r="507" spans="8:8" x14ac:dyDescent="0.3">
      <c r="H507" s="2"/>
    </row>
    <row r="508" spans="8:8" x14ac:dyDescent="0.3">
      <c r="H508" s="2"/>
    </row>
    <row r="509" spans="8:8" x14ac:dyDescent="0.3">
      <c r="H509" s="2"/>
    </row>
    <row r="510" spans="8:8" x14ac:dyDescent="0.3">
      <c r="H510" s="2"/>
    </row>
    <row r="511" spans="8:8" x14ac:dyDescent="0.3">
      <c r="H511" s="2"/>
    </row>
    <row r="512" spans="8:8" x14ac:dyDescent="0.3">
      <c r="H512" s="2"/>
    </row>
    <row r="513" spans="8:8" x14ac:dyDescent="0.3">
      <c r="H513" s="2"/>
    </row>
    <row r="514" spans="8:8" x14ac:dyDescent="0.3">
      <c r="H514" s="2"/>
    </row>
    <row r="515" spans="8:8" x14ac:dyDescent="0.3">
      <c r="H515" s="2"/>
    </row>
    <row r="516" spans="8:8" x14ac:dyDescent="0.3">
      <c r="H516" s="2"/>
    </row>
    <row r="517" spans="8:8" x14ac:dyDescent="0.3">
      <c r="H517" s="2"/>
    </row>
    <row r="518" spans="8:8" x14ac:dyDescent="0.3">
      <c r="H518" s="2"/>
    </row>
    <row r="519" spans="8:8" x14ac:dyDescent="0.3">
      <c r="H519" s="2"/>
    </row>
    <row r="520" spans="8:8" x14ac:dyDescent="0.3">
      <c r="H520" s="2"/>
    </row>
    <row r="521" spans="8:8" x14ac:dyDescent="0.3">
      <c r="H521" s="2"/>
    </row>
    <row r="522" spans="8:8" x14ac:dyDescent="0.3">
      <c r="H522" s="2"/>
    </row>
    <row r="523" spans="8:8" x14ac:dyDescent="0.3">
      <c r="H523" s="2"/>
    </row>
    <row r="524" spans="8:8" x14ac:dyDescent="0.3">
      <c r="H524" s="2"/>
    </row>
    <row r="525" spans="8:8" x14ac:dyDescent="0.3">
      <c r="H525" s="2"/>
    </row>
    <row r="526" spans="8:8" x14ac:dyDescent="0.3">
      <c r="H526" s="2"/>
    </row>
    <row r="527" spans="8:8" x14ac:dyDescent="0.3">
      <c r="H527" s="2"/>
    </row>
    <row r="528" spans="8:8" x14ac:dyDescent="0.3">
      <c r="H528" s="2"/>
    </row>
    <row r="529" spans="8:8" x14ac:dyDescent="0.3">
      <c r="H529" s="2"/>
    </row>
    <row r="530" spans="8:8" x14ac:dyDescent="0.3">
      <c r="H530" s="2"/>
    </row>
    <row r="531" spans="8:8" x14ac:dyDescent="0.3">
      <c r="H531" s="2"/>
    </row>
    <row r="532" spans="8:8" x14ac:dyDescent="0.3">
      <c r="H532" s="2"/>
    </row>
    <row r="533" spans="8:8" x14ac:dyDescent="0.3">
      <c r="H533" s="2"/>
    </row>
    <row r="534" spans="8:8" x14ac:dyDescent="0.3">
      <c r="H534" s="2"/>
    </row>
    <row r="535" spans="8:8" x14ac:dyDescent="0.3">
      <c r="H535" s="2"/>
    </row>
    <row r="536" spans="8:8" x14ac:dyDescent="0.3">
      <c r="H536" s="2"/>
    </row>
    <row r="537" spans="8:8" x14ac:dyDescent="0.3">
      <c r="H537" s="2"/>
    </row>
    <row r="538" spans="8:8" x14ac:dyDescent="0.3">
      <c r="H538" s="2"/>
    </row>
    <row r="539" spans="8:8" x14ac:dyDescent="0.3">
      <c r="H539" s="2"/>
    </row>
    <row r="540" spans="8:8" x14ac:dyDescent="0.3">
      <c r="H540" s="2"/>
    </row>
    <row r="541" spans="8:8" x14ac:dyDescent="0.3">
      <c r="H541" s="2"/>
    </row>
    <row r="542" spans="8:8" x14ac:dyDescent="0.3">
      <c r="H542" s="2"/>
    </row>
    <row r="543" spans="8:8" x14ac:dyDescent="0.3">
      <c r="H543" s="2"/>
    </row>
    <row r="544" spans="8:8" x14ac:dyDescent="0.3">
      <c r="H544" s="2"/>
    </row>
    <row r="545" spans="8:8" x14ac:dyDescent="0.3">
      <c r="H545" s="2"/>
    </row>
    <row r="546" spans="8:8" x14ac:dyDescent="0.3">
      <c r="H546" s="2"/>
    </row>
    <row r="547" spans="8:8" x14ac:dyDescent="0.3">
      <c r="H547" s="2"/>
    </row>
    <row r="548" spans="8:8" x14ac:dyDescent="0.3">
      <c r="H548" s="2"/>
    </row>
    <row r="549" spans="8:8" x14ac:dyDescent="0.3">
      <c r="H549" s="2"/>
    </row>
    <row r="550" spans="8:8" x14ac:dyDescent="0.3">
      <c r="H550" s="2"/>
    </row>
    <row r="551" spans="8:8" x14ac:dyDescent="0.3">
      <c r="H551" s="2"/>
    </row>
    <row r="552" spans="8:8" x14ac:dyDescent="0.3">
      <c r="H552" s="2"/>
    </row>
    <row r="553" spans="8:8" x14ac:dyDescent="0.3">
      <c r="H553" s="2"/>
    </row>
    <row r="554" spans="8:8" x14ac:dyDescent="0.3">
      <c r="H554" s="2"/>
    </row>
    <row r="555" spans="8:8" x14ac:dyDescent="0.3">
      <c r="H555" s="2"/>
    </row>
    <row r="556" spans="8:8" x14ac:dyDescent="0.3">
      <c r="H556" s="2"/>
    </row>
    <row r="557" spans="8:8" x14ac:dyDescent="0.3">
      <c r="H557" s="2"/>
    </row>
    <row r="558" spans="8:8" x14ac:dyDescent="0.3">
      <c r="H558" s="2"/>
    </row>
    <row r="559" spans="8:8" x14ac:dyDescent="0.3">
      <c r="H559" s="2"/>
    </row>
    <row r="560" spans="8:8" x14ac:dyDescent="0.3">
      <c r="H560" s="2"/>
    </row>
    <row r="561" spans="8:8" x14ac:dyDescent="0.3">
      <c r="H561" s="2"/>
    </row>
    <row r="562" spans="8:8" x14ac:dyDescent="0.3">
      <c r="H562" s="2"/>
    </row>
    <row r="563" spans="8:8" x14ac:dyDescent="0.3">
      <c r="H563" s="2"/>
    </row>
    <row r="564" spans="8:8" x14ac:dyDescent="0.3">
      <c r="H564" s="2"/>
    </row>
    <row r="565" spans="8:8" x14ac:dyDescent="0.3">
      <c r="H565" s="2"/>
    </row>
    <row r="566" spans="8:8" x14ac:dyDescent="0.3">
      <c r="H566" s="2"/>
    </row>
    <row r="567" spans="8:8" x14ac:dyDescent="0.3">
      <c r="H567" s="2"/>
    </row>
    <row r="568" spans="8:8" x14ac:dyDescent="0.3">
      <c r="H568" s="2"/>
    </row>
    <row r="569" spans="8:8" x14ac:dyDescent="0.3">
      <c r="H569" s="2"/>
    </row>
    <row r="570" spans="8:8" x14ac:dyDescent="0.3">
      <c r="H570" s="2"/>
    </row>
    <row r="571" spans="8:8" x14ac:dyDescent="0.3">
      <c r="H571" s="2"/>
    </row>
    <row r="572" spans="8:8" x14ac:dyDescent="0.3">
      <c r="H572" s="2"/>
    </row>
    <row r="573" spans="8:8" x14ac:dyDescent="0.3">
      <c r="H573" s="2"/>
    </row>
    <row r="574" spans="8:8" x14ac:dyDescent="0.3">
      <c r="H574" s="2"/>
    </row>
    <row r="575" spans="8:8" x14ac:dyDescent="0.3">
      <c r="H575" s="2"/>
    </row>
    <row r="576" spans="8:8" x14ac:dyDescent="0.3">
      <c r="H576" s="2"/>
    </row>
    <row r="577" spans="8:8" x14ac:dyDescent="0.3">
      <c r="H577" s="2"/>
    </row>
    <row r="578" spans="8:8" x14ac:dyDescent="0.3">
      <c r="H578" s="2"/>
    </row>
    <row r="579" spans="8:8" x14ac:dyDescent="0.3">
      <c r="H579" s="2"/>
    </row>
    <row r="580" spans="8:8" x14ac:dyDescent="0.3">
      <c r="H580" s="2"/>
    </row>
    <row r="581" spans="8:8" x14ac:dyDescent="0.3">
      <c r="H581" s="2"/>
    </row>
    <row r="582" spans="8:8" x14ac:dyDescent="0.3">
      <c r="H582" s="2"/>
    </row>
    <row r="583" spans="8:8" x14ac:dyDescent="0.3">
      <c r="H583" s="2"/>
    </row>
    <row r="584" spans="8:8" x14ac:dyDescent="0.3">
      <c r="H584" s="2"/>
    </row>
    <row r="585" spans="8:8" x14ac:dyDescent="0.3">
      <c r="H585" s="2"/>
    </row>
    <row r="586" spans="8:8" x14ac:dyDescent="0.3">
      <c r="H586" s="2"/>
    </row>
    <row r="587" spans="8:8" x14ac:dyDescent="0.3">
      <c r="H587" s="2"/>
    </row>
    <row r="588" spans="8:8" x14ac:dyDescent="0.3">
      <c r="H588" s="2"/>
    </row>
    <row r="589" spans="8:8" x14ac:dyDescent="0.3">
      <c r="H589" s="2"/>
    </row>
    <row r="590" spans="8:8" x14ac:dyDescent="0.3">
      <c r="H590" s="2"/>
    </row>
    <row r="591" spans="8:8" x14ac:dyDescent="0.3">
      <c r="H591" s="2"/>
    </row>
    <row r="592" spans="8:8" x14ac:dyDescent="0.3">
      <c r="H592" s="2"/>
    </row>
    <row r="593" spans="8:8" x14ac:dyDescent="0.3">
      <c r="H593" s="2"/>
    </row>
    <row r="594" spans="8:8" x14ac:dyDescent="0.3">
      <c r="H594" s="2"/>
    </row>
    <row r="595" spans="8:8" x14ac:dyDescent="0.3">
      <c r="H595" s="2"/>
    </row>
    <row r="596" spans="8:8" x14ac:dyDescent="0.3">
      <c r="H596" s="2"/>
    </row>
    <row r="597" spans="8:8" x14ac:dyDescent="0.3">
      <c r="H597" s="2"/>
    </row>
    <row r="598" spans="8:8" x14ac:dyDescent="0.3">
      <c r="H598" s="2"/>
    </row>
    <row r="599" spans="8:8" x14ac:dyDescent="0.3">
      <c r="H599" s="2"/>
    </row>
    <row r="600" spans="8:8" x14ac:dyDescent="0.3">
      <c r="H600" s="2"/>
    </row>
    <row r="601" spans="8:8" x14ac:dyDescent="0.3">
      <c r="H601" s="2"/>
    </row>
    <row r="602" spans="8:8" x14ac:dyDescent="0.3">
      <c r="H602" s="2"/>
    </row>
    <row r="603" spans="8:8" x14ac:dyDescent="0.3">
      <c r="H603" s="2"/>
    </row>
    <row r="604" spans="8:8" x14ac:dyDescent="0.3">
      <c r="H604" s="2"/>
    </row>
    <row r="605" spans="8:8" x14ac:dyDescent="0.3">
      <c r="H605" s="2"/>
    </row>
    <row r="606" spans="8:8" x14ac:dyDescent="0.3">
      <c r="H606" s="2"/>
    </row>
    <row r="607" spans="8:8" x14ac:dyDescent="0.3">
      <c r="H607" s="2"/>
    </row>
    <row r="608" spans="8:8" x14ac:dyDescent="0.3">
      <c r="H608" s="2"/>
    </row>
    <row r="609" spans="8:8" x14ac:dyDescent="0.3">
      <c r="H609" s="2"/>
    </row>
    <row r="610" spans="8:8" x14ac:dyDescent="0.3">
      <c r="H610" s="2"/>
    </row>
    <row r="611" spans="8:8" x14ac:dyDescent="0.3">
      <c r="H611" s="2"/>
    </row>
    <row r="612" spans="8:8" x14ac:dyDescent="0.3">
      <c r="H612" s="2"/>
    </row>
    <row r="613" spans="8:8" x14ac:dyDescent="0.3">
      <c r="H613" s="2"/>
    </row>
    <row r="614" spans="8:8" x14ac:dyDescent="0.3">
      <c r="H614" s="2"/>
    </row>
    <row r="615" spans="8:8" x14ac:dyDescent="0.3">
      <c r="H615" s="2"/>
    </row>
    <row r="616" spans="8:8" x14ac:dyDescent="0.3">
      <c r="H616" s="2"/>
    </row>
    <row r="617" spans="8:8" x14ac:dyDescent="0.3">
      <c r="H617" s="2"/>
    </row>
    <row r="618" spans="8:8" x14ac:dyDescent="0.3">
      <c r="H618" s="2"/>
    </row>
    <row r="619" spans="8:8" x14ac:dyDescent="0.3">
      <c r="H619" s="2"/>
    </row>
    <row r="620" spans="8:8" x14ac:dyDescent="0.3">
      <c r="H620" s="2"/>
    </row>
    <row r="621" spans="8:8" x14ac:dyDescent="0.3">
      <c r="H621" s="2"/>
    </row>
    <row r="622" spans="8:8" x14ac:dyDescent="0.3">
      <c r="H622" s="2"/>
    </row>
    <row r="623" spans="8:8" x14ac:dyDescent="0.3">
      <c r="H623" s="2"/>
    </row>
    <row r="624" spans="8:8" x14ac:dyDescent="0.3">
      <c r="H624" s="2"/>
    </row>
    <row r="625" spans="8:8" x14ac:dyDescent="0.3">
      <c r="H625" s="2"/>
    </row>
    <row r="626" spans="8:8" x14ac:dyDescent="0.3">
      <c r="H626" s="2"/>
    </row>
    <row r="627" spans="8:8" x14ac:dyDescent="0.3">
      <c r="H627" s="2"/>
    </row>
    <row r="628" spans="8:8" x14ac:dyDescent="0.3">
      <c r="H628" s="2"/>
    </row>
    <row r="629" spans="8:8" x14ac:dyDescent="0.3">
      <c r="H629" s="2"/>
    </row>
    <row r="630" spans="8:8" x14ac:dyDescent="0.3">
      <c r="H630" s="2"/>
    </row>
    <row r="631" spans="8:8" x14ac:dyDescent="0.3">
      <c r="H631" s="2"/>
    </row>
    <row r="632" spans="8:8" x14ac:dyDescent="0.3">
      <c r="H632" s="2"/>
    </row>
    <row r="633" spans="8:8" x14ac:dyDescent="0.3">
      <c r="H633" s="2"/>
    </row>
    <row r="634" spans="8:8" x14ac:dyDescent="0.3">
      <c r="H634" s="2"/>
    </row>
    <row r="635" spans="8:8" x14ac:dyDescent="0.3">
      <c r="H635" s="2"/>
    </row>
    <row r="636" spans="8:8" x14ac:dyDescent="0.3">
      <c r="H636" s="2"/>
    </row>
    <row r="637" spans="8:8" x14ac:dyDescent="0.3">
      <c r="H637" s="2"/>
    </row>
    <row r="638" spans="8:8" x14ac:dyDescent="0.3">
      <c r="H638" s="2"/>
    </row>
    <row r="639" spans="8:8" x14ac:dyDescent="0.3">
      <c r="H639" s="2"/>
    </row>
    <row r="640" spans="8:8" x14ac:dyDescent="0.3">
      <c r="H640" s="2"/>
    </row>
    <row r="641" spans="8:8" x14ac:dyDescent="0.3">
      <c r="H641" s="2"/>
    </row>
    <row r="642" spans="8:8" x14ac:dyDescent="0.3">
      <c r="H642" s="2"/>
    </row>
    <row r="643" spans="8:8" x14ac:dyDescent="0.3">
      <c r="H643" s="2"/>
    </row>
    <row r="644" spans="8:8" x14ac:dyDescent="0.3">
      <c r="H644" s="2"/>
    </row>
    <row r="645" spans="8:8" x14ac:dyDescent="0.3">
      <c r="H645" s="2"/>
    </row>
    <row r="646" spans="8:8" x14ac:dyDescent="0.3">
      <c r="H646" s="2"/>
    </row>
    <row r="647" spans="8:8" x14ac:dyDescent="0.3">
      <c r="H647" s="2"/>
    </row>
    <row r="648" spans="8:8" x14ac:dyDescent="0.3">
      <c r="H648" s="2"/>
    </row>
    <row r="649" spans="8:8" x14ac:dyDescent="0.3">
      <c r="H649" s="2"/>
    </row>
    <row r="650" spans="8:8" x14ac:dyDescent="0.3">
      <c r="H650" s="2"/>
    </row>
    <row r="651" spans="8:8" x14ac:dyDescent="0.3">
      <c r="H651" s="2"/>
    </row>
    <row r="652" spans="8:8" x14ac:dyDescent="0.3">
      <c r="H652" s="2"/>
    </row>
    <row r="653" spans="8:8" x14ac:dyDescent="0.3">
      <c r="H653" s="2"/>
    </row>
    <row r="654" spans="8:8" x14ac:dyDescent="0.3">
      <c r="H654" s="2"/>
    </row>
    <row r="655" spans="8:8" x14ac:dyDescent="0.3">
      <c r="H655" s="2"/>
    </row>
    <row r="656" spans="8:8" x14ac:dyDescent="0.3">
      <c r="H656" s="2"/>
    </row>
    <row r="657" spans="8:8" x14ac:dyDescent="0.3">
      <c r="H657" s="2"/>
    </row>
    <row r="658" spans="8:8" x14ac:dyDescent="0.3">
      <c r="H658" s="2"/>
    </row>
    <row r="659" spans="8:8" x14ac:dyDescent="0.3">
      <c r="H659" s="2"/>
    </row>
    <row r="660" spans="8:8" x14ac:dyDescent="0.3">
      <c r="H660" s="2"/>
    </row>
    <row r="661" spans="8:8" x14ac:dyDescent="0.3">
      <c r="H661" s="2"/>
    </row>
    <row r="662" spans="8:8" x14ac:dyDescent="0.3">
      <c r="H662" s="2"/>
    </row>
    <row r="663" spans="8:8" x14ac:dyDescent="0.3">
      <c r="H663" s="2"/>
    </row>
    <row r="664" spans="8:8" x14ac:dyDescent="0.3">
      <c r="H664" s="2"/>
    </row>
    <row r="665" spans="8:8" x14ac:dyDescent="0.3">
      <c r="H665" s="2"/>
    </row>
    <row r="666" spans="8:8" x14ac:dyDescent="0.3">
      <c r="H666" s="2"/>
    </row>
    <row r="667" spans="8:8" x14ac:dyDescent="0.3">
      <c r="H667" s="2"/>
    </row>
    <row r="668" spans="8:8" x14ac:dyDescent="0.3">
      <c r="H668" s="2"/>
    </row>
    <row r="669" spans="8:8" x14ac:dyDescent="0.3">
      <c r="H669" s="2"/>
    </row>
    <row r="670" spans="8:8" x14ac:dyDescent="0.3">
      <c r="H670" s="2"/>
    </row>
    <row r="671" spans="8:8" x14ac:dyDescent="0.3">
      <c r="H671" s="2"/>
    </row>
    <row r="672" spans="8:8" x14ac:dyDescent="0.3">
      <c r="H672" s="2"/>
    </row>
    <row r="673" spans="8:8" x14ac:dyDescent="0.3">
      <c r="H673" s="2"/>
    </row>
    <row r="674" spans="8:8" x14ac:dyDescent="0.3">
      <c r="H674" s="2"/>
    </row>
    <row r="675" spans="8:8" x14ac:dyDescent="0.3">
      <c r="H675" s="2"/>
    </row>
    <row r="676" spans="8:8" x14ac:dyDescent="0.3">
      <c r="H676" s="2"/>
    </row>
    <row r="677" spans="8:8" x14ac:dyDescent="0.3">
      <c r="H677" s="2"/>
    </row>
    <row r="678" spans="8:8" x14ac:dyDescent="0.3">
      <c r="H678" s="2"/>
    </row>
    <row r="679" spans="8:8" x14ac:dyDescent="0.3">
      <c r="H679" s="2"/>
    </row>
    <row r="680" spans="8:8" x14ac:dyDescent="0.3">
      <c r="H680" s="2"/>
    </row>
    <row r="681" spans="8:8" x14ac:dyDescent="0.3">
      <c r="H681" s="2"/>
    </row>
    <row r="682" spans="8:8" x14ac:dyDescent="0.3">
      <c r="H682" s="2"/>
    </row>
    <row r="683" spans="8:8" x14ac:dyDescent="0.3">
      <c r="H683" s="2"/>
    </row>
    <row r="684" spans="8:8" x14ac:dyDescent="0.3">
      <c r="H684" s="2"/>
    </row>
    <row r="685" spans="8:8" x14ac:dyDescent="0.3">
      <c r="H685" s="2"/>
    </row>
    <row r="686" spans="8:8" x14ac:dyDescent="0.3">
      <c r="H686" s="2"/>
    </row>
    <row r="687" spans="8:8" x14ac:dyDescent="0.3">
      <c r="H687" s="2"/>
    </row>
    <row r="688" spans="8:8" x14ac:dyDescent="0.3">
      <c r="H688" s="2"/>
    </row>
    <row r="689" spans="8:8" x14ac:dyDescent="0.3">
      <c r="H689" s="2"/>
    </row>
    <row r="690" spans="8:8" x14ac:dyDescent="0.3">
      <c r="H690" s="2"/>
    </row>
    <row r="691" spans="8:8" x14ac:dyDescent="0.3">
      <c r="H691" s="2"/>
    </row>
    <row r="692" spans="8:8" x14ac:dyDescent="0.3">
      <c r="H692" s="2"/>
    </row>
    <row r="693" spans="8:8" x14ac:dyDescent="0.3">
      <c r="H693" s="2"/>
    </row>
    <row r="694" spans="8:8" x14ac:dyDescent="0.3">
      <c r="H694" s="2"/>
    </row>
    <row r="695" spans="8:8" x14ac:dyDescent="0.3">
      <c r="H695" s="2"/>
    </row>
    <row r="696" spans="8:8" x14ac:dyDescent="0.3">
      <c r="H696" s="2"/>
    </row>
    <row r="697" spans="8:8" x14ac:dyDescent="0.3">
      <c r="H697" s="2"/>
    </row>
    <row r="698" spans="8:8" x14ac:dyDescent="0.3">
      <c r="H698" s="2"/>
    </row>
    <row r="699" spans="8:8" x14ac:dyDescent="0.3">
      <c r="H699" s="2"/>
    </row>
    <row r="700" spans="8:8" x14ac:dyDescent="0.3">
      <c r="H700" s="2"/>
    </row>
    <row r="701" spans="8:8" x14ac:dyDescent="0.3">
      <c r="H701" s="2"/>
    </row>
    <row r="702" spans="8:8" x14ac:dyDescent="0.3">
      <c r="H702" s="2"/>
    </row>
    <row r="703" spans="8:8" x14ac:dyDescent="0.3">
      <c r="H703" s="2"/>
    </row>
    <row r="704" spans="8:8" x14ac:dyDescent="0.3">
      <c r="H704" s="2"/>
    </row>
    <row r="705" spans="8:8" x14ac:dyDescent="0.3">
      <c r="H705" s="2"/>
    </row>
    <row r="706" spans="8:8" x14ac:dyDescent="0.3">
      <c r="H706" s="2"/>
    </row>
    <row r="707" spans="8:8" x14ac:dyDescent="0.3">
      <c r="H707" s="2"/>
    </row>
    <row r="708" spans="8:8" x14ac:dyDescent="0.3">
      <c r="H708" s="2"/>
    </row>
    <row r="709" spans="8:8" x14ac:dyDescent="0.3">
      <c r="H709" s="2"/>
    </row>
    <row r="710" spans="8:8" x14ac:dyDescent="0.3">
      <c r="H710" s="2"/>
    </row>
    <row r="711" spans="8:8" x14ac:dyDescent="0.3">
      <c r="H711" s="2"/>
    </row>
    <row r="712" spans="8:8" x14ac:dyDescent="0.3">
      <c r="H712" s="2"/>
    </row>
    <row r="713" spans="8:8" x14ac:dyDescent="0.3">
      <c r="H713" s="2"/>
    </row>
    <row r="714" spans="8:8" x14ac:dyDescent="0.3">
      <c r="H714" s="2"/>
    </row>
    <row r="715" spans="8:8" x14ac:dyDescent="0.3">
      <c r="H715" s="2"/>
    </row>
    <row r="716" spans="8:8" x14ac:dyDescent="0.3">
      <c r="H716" s="2"/>
    </row>
    <row r="717" spans="8:8" x14ac:dyDescent="0.3">
      <c r="H717" s="2"/>
    </row>
    <row r="718" spans="8:8" x14ac:dyDescent="0.3">
      <c r="H718" s="2"/>
    </row>
    <row r="719" spans="8:8" x14ac:dyDescent="0.3">
      <c r="H719" s="2"/>
    </row>
    <row r="720" spans="8:8" x14ac:dyDescent="0.3">
      <c r="H720" s="2"/>
    </row>
    <row r="721" spans="8:8" x14ac:dyDescent="0.3">
      <c r="H721" s="2"/>
    </row>
    <row r="722" spans="8:8" x14ac:dyDescent="0.3">
      <c r="H722" s="2"/>
    </row>
    <row r="723" spans="8:8" x14ac:dyDescent="0.3">
      <c r="H723" s="2"/>
    </row>
    <row r="724" spans="8:8" x14ac:dyDescent="0.3">
      <c r="H724" s="2"/>
    </row>
    <row r="725" spans="8:8" x14ac:dyDescent="0.3">
      <c r="H725" s="2"/>
    </row>
    <row r="726" spans="8:8" x14ac:dyDescent="0.3">
      <c r="H726" s="2"/>
    </row>
    <row r="727" spans="8:8" x14ac:dyDescent="0.3">
      <c r="H727" s="2"/>
    </row>
    <row r="728" spans="8:8" x14ac:dyDescent="0.3">
      <c r="H728" s="2"/>
    </row>
    <row r="729" spans="8:8" x14ac:dyDescent="0.3">
      <c r="H729" s="2"/>
    </row>
    <row r="730" spans="8:8" x14ac:dyDescent="0.3">
      <c r="H730" s="2"/>
    </row>
    <row r="731" spans="8:8" x14ac:dyDescent="0.3">
      <c r="H731" s="2"/>
    </row>
    <row r="732" spans="8:8" x14ac:dyDescent="0.3">
      <c r="H732" s="2"/>
    </row>
    <row r="733" spans="8:8" x14ac:dyDescent="0.3">
      <c r="H733" s="2"/>
    </row>
    <row r="734" spans="8:8" x14ac:dyDescent="0.3">
      <c r="H734" s="2"/>
    </row>
    <row r="735" spans="8:8" x14ac:dyDescent="0.3">
      <c r="H735" s="2"/>
    </row>
    <row r="736" spans="8:8" x14ac:dyDescent="0.3">
      <c r="H736" s="2"/>
    </row>
    <row r="737" spans="8:8" x14ac:dyDescent="0.3">
      <c r="H737" s="2"/>
    </row>
    <row r="738" spans="8:8" x14ac:dyDescent="0.3">
      <c r="H738" s="2"/>
    </row>
    <row r="739" spans="8:8" x14ac:dyDescent="0.3">
      <c r="H739" s="2"/>
    </row>
    <row r="740" spans="8:8" x14ac:dyDescent="0.3">
      <c r="H740" s="2"/>
    </row>
    <row r="741" spans="8:8" x14ac:dyDescent="0.3">
      <c r="H741" s="2"/>
    </row>
    <row r="742" spans="8:8" x14ac:dyDescent="0.3">
      <c r="H742" s="2"/>
    </row>
    <row r="743" spans="8:8" x14ac:dyDescent="0.3">
      <c r="H743" s="2"/>
    </row>
    <row r="744" spans="8:8" x14ac:dyDescent="0.3">
      <c r="H744" s="2"/>
    </row>
    <row r="745" spans="8:8" x14ac:dyDescent="0.3">
      <c r="H745" s="2"/>
    </row>
    <row r="746" spans="8:8" x14ac:dyDescent="0.3">
      <c r="H746" s="2"/>
    </row>
    <row r="747" spans="8:8" x14ac:dyDescent="0.3">
      <c r="H747" s="2"/>
    </row>
    <row r="748" spans="8:8" x14ac:dyDescent="0.3">
      <c r="H748" s="2"/>
    </row>
    <row r="749" spans="8:8" x14ac:dyDescent="0.3">
      <c r="H749" s="2"/>
    </row>
    <row r="750" spans="8:8" x14ac:dyDescent="0.3">
      <c r="H750" s="2"/>
    </row>
    <row r="751" spans="8:8" x14ac:dyDescent="0.3">
      <c r="H751" s="2"/>
    </row>
    <row r="752" spans="8:8" x14ac:dyDescent="0.3">
      <c r="H752" s="2"/>
    </row>
    <row r="753" spans="8:8" x14ac:dyDescent="0.3">
      <c r="H753" s="2"/>
    </row>
    <row r="754" spans="8:8" x14ac:dyDescent="0.3">
      <c r="H754" s="2"/>
    </row>
    <row r="755" spans="8:8" x14ac:dyDescent="0.3">
      <c r="H755" s="2"/>
    </row>
    <row r="756" spans="8:8" x14ac:dyDescent="0.3">
      <c r="H756" s="2"/>
    </row>
    <row r="757" spans="8:8" x14ac:dyDescent="0.3">
      <c r="H757" s="2"/>
    </row>
    <row r="758" spans="8:8" x14ac:dyDescent="0.3">
      <c r="H758" s="2"/>
    </row>
    <row r="759" spans="8:8" x14ac:dyDescent="0.3">
      <c r="H759" s="2"/>
    </row>
    <row r="760" spans="8:8" x14ac:dyDescent="0.3">
      <c r="H760" s="2"/>
    </row>
    <row r="761" spans="8:8" x14ac:dyDescent="0.3">
      <c r="H761" s="2"/>
    </row>
    <row r="762" spans="8:8" x14ac:dyDescent="0.3">
      <c r="H762" s="2"/>
    </row>
    <row r="763" spans="8:8" x14ac:dyDescent="0.3">
      <c r="H763" s="2"/>
    </row>
    <row r="764" spans="8:8" x14ac:dyDescent="0.3">
      <c r="H764" s="2"/>
    </row>
    <row r="765" spans="8:8" x14ac:dyDescent="0.3">
      <c r="H765" s="2"/>
    </row>
    <row r="766" spans="8:8" x14ac:dyDescent="0.3">
      <c r="H766" s="2"/>
    </row>
    <row r="767" spans="8:8" x14ac:dyDescent="0.3">
      <c r="H767" s="2"/>
    </row>
    <row r="768" spans="8:8" x14ac:dyDescent="0.3">
      <c r="H768" s="2"/>
    </row>
    <row r="769" spans="8:8" x14ac:dyDescent="0.3">
      <c r="H769" s="2"/>
    </row>
    <row r="770" spans="8:8" x14ac:dyDescent="0.3">
      <c r="H770" s="2"/>
    </row>
    <row r="771" spans="8:8" x14ac:dyDescent="0.3">
      <c r="H771" s="2"/>
    </row>
    <row r="772" spans="8:8" x14ac:dyDescent="0.3">
      <c r="H772" s="2"/>
    </row>
    <row r="773" spans="8:8" x14ac:dyDescent="0.3">
      <c r="H773" s="2"/>
    </row>
    <row r="774" spans="8:8" x14ac:dyDescent="0.3">
      <c r="H774" s="2"/>
    </row>
    <row r="775" spans="8:8" x14ac:dyDescent="0.3">
      <c r="H775" s="2"/>
    </row>
    <row r="776" spans="8:8" x14ac:dyDescent="0.3">
      <c r="H776" s="2"/>
    </row>
    <row r="777" spans="8:8" x14ac:dyDescent="0.3">
      <c r="H777" s="2"/>
    </row>
    <row r="778" spans="8:8" x14ac:dyDescent="0.3">
      <c r="H778" s="2"/>
    </row>
    <row r="779" spans="8:8" x14ac:dyDescent="0.3">
      <c r="H779" s="2"/>
    </row>
    <row r="780" spans="8:8" x14ac:dyDescent="0.3">
      <c r="H780" s="2"/>
    </row>
    <row r="781" spans="8:8" x14ac:dyDescent="0.3">
      <c r="H781" s="2"/>
    </row>
    <row r="782" spans="8:8" x14ac:dyDescent="0.3">
      <c r="H782" s="2"/>
    </row>
    <row r="783" spans="8:8" x14ac:dyDescent="0.3">
      <c r="H783" s="2"/>
    </row>
    <row r="784" spans="8:8" x14ac:dyDescent="0.3">
      <c r="H784" s="2"/>
    </row>
    <row r="785" spans="8:8" x14ac:dyDescent="0.3">
      <c r="H785" s="2"/>
    </row>
    <row r="786" spans="8:8" x14ac:dyDescent="0.3">
      <c r="H786" s="2"/>
    </row>
    <row r="787" spans="8:8" x14ac:dyDescent="0.3">
      <c r="H787" s="2"/>
    </row>
    <row r="788" spans="8:8" x14ac:dyDescent="0.3">
      <c r="H788" s="2"/>
    </row>
    <row r="789" spans="8:8" x14ac:dyDescent="0.3">
      <c r="H789" s="2"/>
    </row>
    <row r="790" spans="8:8" x14ac:dyDescent="0.3">
      <c r="H790" s="2"/>
    </row>
    <row r="791" spans="8:8" x14ac:dyDescent="0.3">
      <c r="H791" s="2"/>
    </row>
    <row r="792" spans="8:8" x14ac:dyDescent="0.3">
      <c r="H792" s="2"/>
    </row>
    <row r="793" spans="8:8" x14ac:dyDescent="0.3">
      <c r="H793" s="2"/>
    </row>
    <row r="794" spans="8:8" x14ac:dyDescent="0.3">
      <c r="H794" s="2"/>
    </row>
    <row r="795" spans="8:8" x14ac:dyDescent="0.3">
      <c r="H795" s="2"/>
    </row>
    <row r="796" spans="8:8" x14ac:dyDescent="0.3">
      <c r="H796" s="2"/>
    </row>
    <row r="797" spans="8:8" x14ac:dyDescent="0.3">
      <c r="H797" s="2"/>
    </row>
    <row r="798" spans="8:8" x14ac:dyDescent="0.3">
      <c r="H798" s="2"/>
    </row>
    <row r="799" spans="8:8" x14ac:dyDescent="0.3">
      <c r="H799" s="2"/>
    </row>
    <row r="800" spans="8:8" x14ac:dyDescent="0.3">
      <c r="H800" s="2"/>
    </row>
    <row r="801" spans="8:8" x14ac:dyDescent="0.3">
      <c r="H801" s="2"/>
    </row>
    <row r="802" spans="8:8" x14ac:dyDescent="0.3">
      <c r="H802" s="2"/>
    </row>
    <row r="803" spans="8:8" x14ac:dyDescent="0.3">
      <c r="H803" s="2"/>
    </row>
    <row r="804" spans="8:8" x14ac:dyDescent="0.3">
      <c r="H804" s="2"/>
    </row>
    <row r="805" spans="8:8" x14ac:dyDescent="0.3">
      <c r="H805" s="2"/>
    </row>
    <row r="806" spans="8:8" x14ac:dyDescent="0.3">
      <c r="H806" s="2"/>
    </row>
    <row r="807" spans="8:8" x14ac:dyDescent="0.3">
      <c r="H807" s="2"/>
    </row>
    <row r="808" spans="8:8" x14ac:dyDescent="0.3">
      <c r="H808" s="2"/>
    </row>
    <row r="809" spans="8:8" x14ac:dyDescent="0.3">
      <c r="H809" s="2"/>
    </row>
    <row r="810" spans="8:8" x14ac:dyDescent="0.3">
      <c r="H810" s="2"/>
    </row>
    <row r="811" spans="8:8" x14ac:dyDescent="0.3">
      <c r="H811" s="2"/>
    </row>
    <row r="812" spans="8:8" x14ac:dyDescent="0.3">
      <c r="H812" s="2"/>
    </row>
    <row r="813" spans="8:8" x14ac:dyDescent="0.3">
      <c r="H813" s="2"/>
    </row>
    <row r="814" spans="8:8" x14ac:dyDescent="0.3">
      <c r="H814" s="2"/>
    </row>
    <row r="815" spans="8:8" x14ac:dyDescent="0.3">
      <c r="H815" s="2"/>
    </row>
    <row r="816" spans="8:8" x14ac:dyDescent="0.3">
      <c r="H816" s="2"/>
    </row>
    <row r="817" spans="8:8" x14ac:dyDescent="0.3">
      <c r="H817" s="2"/>
    </row>
    <row r="818" spans="8:8" x14ac:dyDescent="0.3">
      <c r="H818" s="2"/>
    </row>
    <row r="819" spans="8:8" x14ac:dyDescent="0.3">
      <c r="H819" s="2"/>
    </row>
    <row r="820" spans="8:8" x14ac:dyDescent="0.3">
      <c r="H820" s="2"/>
    </row>
    <row r="821" spans="8:8" x14ac:dyDescent="0.3">
      <c r="H821" s="2"/>
    </row>
    <row r="822" spans="8:8" x14ac:dyDescent="0.3">
      <c r="H822" s="2"/>
    </row>
    <row r="823" spans="8:8" x14ac:dyDescent="0.3">
      <c r="H823" s="2"/>
    </row>
    <row r="824" spans="8:8" x14ac:dyDescent="0.3">
      <c r="H824" s="2"/>
    </row>
    <row r="825" spans="8:8" x14ac:dyDescent="0.3">
      <c r="H825" s="2"/>
    </row>
    <row r="826" spans="8:8" x14ac:dyDescent="0.3">
      <c r="H826" s="2"/>
    </row>
    <row r="827" spans="8:8" x14ac:dyDescent="0.3">
      <c r="H827" s="2"/>
    </row>
    <row r="828" spans="8:8" x14ac:dyDescent="0.3">
      <c r="H828" s="2"/>
    </row>
    <row r="829" spans="8:8" x14ac:dyDescent="0.3">
      <c r="H829" s="2"/>
    </row>
    <row r="830" spans="8:8" x14ac:dyDescent="0.3">
      <c r="H830" s="2"/>
    </row>
    <row r="831" spans="8:8" x14ac:dyDescent="0.3">
      <c r="H831" s="2"/>
    </row>
    <row r="832" spans="8:8" x14ac:dyDescent="0.3">
      <c r="H832" s="2"/>
    </row>
    <row r="833" spans="8:8" x14ac:dyDescent="0.3">
      <c r="H833" s="2"/>
    </row>
    <row r="834" spans="8:8" x14ac:dyDescent="0.3">
      <c r="H834" s="2"/>
    </row>
    <row r="835" spans="8:8" x14ac:dyDescent="0.3">
      <c r="H835" s="2"/>
    </row>
    <row r="836" spans="8:8" x14ac:dyDescent="0.3">
      <c r="H836" s="2"/>
    </row>
    <row r="837" spans="8:8" x14ac:dyDescent="0.3">
      <c r="H837" s="2"/>
    </row>
    <row r="838" spans="8:8" x14ac:dyDescent="0.3">
      <c r="H838" s="2"/>
    </row>
    <row r="839" spans="8:8" x14ac:dyDescent="0.3">
      <c r="H839" s="2"/>
    </row>
    <row r="840" spans="8:8" x14ac:dyDescent="0.3">
      <c r="H840" s="2"/>
    </row>
    <row r="841" spans="8:8" x14ac:dyDescent="0.3">
      <c r="H841" s="2"/>
    </row>
    <row r="842" spans="8:8" x14ac:dyDescent="0.3">
      <c r="H842" s="2"/>
    </row>
    <row r="843" spans="8:8" x14ac:dyDescent="0.3">
      <c r="H843" s="2"/>
    </row>
    <row r="844" spans="8:8" x14ac:dyDescent="0.3">
      <c r="H844" s="2"/>
    </row>
    <row r="845" spans="8:8" x14ac:dyDescent="0.3">
      <c r="H845" s="2"/>
    </row>
    <row r="846" spans="8:8" x14ac:dyDescent="0.3">
      <c r="H846" s="2"/>
    </row>
    <row r="847" spans="8:8" x14ac:dyDescent="0.3">
      <c r="H847" s="2"/>
    </row>
    <row r="848" spans="8:8" x14ac:dyDescent="0.3">
      <c r="H848" s="2"/>
    </row>
    <row r="849" spans="8:8" x14ac:dyDescent="0.3">
      <c r="H849" s="2"/>
    </row>
    <row r="850" spans="8:8" x14ac:dyDescent="0.3">
      <c r="H850" s="2"/>
    </row>
    <row r="851" spans="8:8" x14ac:dyDescent="0.3">
      <c r="H851" s="2"/>
    </row>
    <row r="852" spans="8:8" x14ac:dyDescent="0.3">
      <c r="H852" s="2"/>
    </row>
    <row r="853" spans="8:8" x14ac:dyDescent="0.3">
      <c r="H853" s="2"/>
    </row>
    <row r="854" spans="8:8" x14ac:dyDescent="0.3">
      <c r="H854" s="2"/>
    </row>
    <row r="855" spans="8:8" x14ac:dyDescent="0.3">
      <c r="H855" s="2"/>
    </row>
    <row r="856" spans="8:8" x14ac:dyDescent="0.3">
      <c r="H856" s="2"/>
    </row>
    <row r="857" spans="8:8" x14ac:dyDescent="0.3">
      <c r="H857" s="2"/>
    </row>
    <row r="858" spans="8:8" x14ac:dyDescent="0.3">
      <c r="H858" s="2"/>
    </row>
    <row r="859" spans="8:8" x14ac:dyDescent="0.3">
      <c r="H859" s="2"/>
    </row>
    <row r="860" spans="8:8" x14ac:dyDescent="0.3">
      <c r="H860" s="2"/>
    </row>
    <row r="861" spans="8:8" x14ac:dyDescent="0.3">
      <c r="H861" s="2"/>
    </row>
    <row r="862" spans="8:8" x14ac:dyDescent="0.3">
      <c r="H862" s="2"/>
    </row>
    <row r="863" spans="8:8" x14ac:dyDescent="0.3">
      <c r="H863" s="2"/>
    </row>
    <row r="864" spans="8:8" x14ac:dyDescent="0.3">
      <c r="H864" s="2"/>
    </row>
    <row r="865" spans="8:8" x14ac:dyDescent="0.3">
      <c r="H865" s="2"/>
    </row>
    <row r="866" spans="8:8" x14ac:dyDescent="0.3">
      <c r="H866" s="2"/>
    </row>
    <row r="867" spans="8:8" x14ac:dyDescent="0.3">
      <c r="H867" s="2"/>
    </row>
    <row r="868" spans="8:8" x14ac:dyDescent="0.3">
      <c r="H868" s="2"/>
    </row>
    <row r="869" spans="8:8" x14ac:dyDescent="0.3">
      <c r="H869" s="2"/>
    </row>
    <row r="870" spans="8:8" x14ac:dyDescent="0.3">
      <c r="H870" s="2"/>
    </row>
    <row r="871" spans="8:8" x14ac:dyDescent="0.3">
      <c r="H871" s="2"/>
    </row>
    <row r="872" spans="8:8" x14ac:dyDescent="0.3">
      <c r="H872" s="2"/>
    </row>
    <row r="873" spans="8:8" x14ac:dyDescent="0.3">
      <c r="H873" s="2"/>
    </row>
    <row r="874" spans="8:8" x14ac:dyDescent="0.3">
      <c r="H874" s="2"/>
    </row>
    <row r="875" spans="8:8" x14ac:dyDescent="0.3">
      <c r="H875" s="2"/>
    </row>
    <row r="876" spans="8:8" x14ac:dyDescent="0.3">
      <c r="H876" s="2"/>
    </row>
    <row r="877" spans="8:8" x14ac:dyDescent="0.3">
      <c r="H877" s="2"/>
    </row>
    <row r="878" spans="8:8" x14ac:dyDescent="0.3">
      <c r="H878" s="2"/>
    </row>
    <row r="879" spans="8:8" x14ac:dyDescent="0.3">
      <c r="H879" s="2"/>
    </row>
    <row r="880" spans="8:8" x14ac:dyDescent="0.3">
      <c r="H880" s="2"/>
    </row>
    <row r="881" spans="8:8" x14ac:dyDescent="0.3">
      <c r="H881" s="2"/>
    </row>
    <row r="882" spans="8:8" x14ac:dyDescent="0.3">
      <c r="H882" s="2"/>
    </row>
    <row r="883" spans="8:8" x14ac:dyDescent="0.3">
      <c r="H883" s="2"/>
    </row>
    <row r="884" spans="8:8" x14ac:dyDescent="0.3">
      <c r="H884" s="2"/>
    </row>
    <row r="885" spans="8:8" x14ac:dyDescent="0.3">
      <c r="H885" s="2"/>
    </row>
    <row r="886" spans="8:8" x14ac:dyDescent="0.3">
      <c r="H886" s="2"/>
    </row>
    <row r="887" spans="8:8" x14ac:dyDescent="0.3">
      <c r="H887" s="2"/>
    </row>
    <row r="888" spans="8:8" x14ac:dyDescent="0.3">
      <c r="H888" s="2"/>
    </row>
    <row r="889" spans="8:8" x14ac:dyDescent="0.3">
      <c r="H889" s="2"/>
    </row>
    <row r="890" spans="8:8" x14ac:dyDescent="0.3">
      <c r="H890" s="2"/>
    </row>
    <row r="891" spans="8:8" x14ac:dyDescent="0.3">
      <c r="H891" s="2"/>
    </row>
    <row r="892" spans="8:8" x14ac:dyDescent="0.3">
      <c r="H892" s="2"/>
    </row>
    <row r="893" spans="8:8" x14ac:dyDescent="0.3">
      <c r="H893" s="2"/>
    </row>
    <row r="894" spans="8:8" x14ac:dyDescent="0.3">
      <c r="H894" s="2"/>
    </row>
    <row r="895" spans="8:8" x14ac:dyDescent="0.3">
      <c r="H895" s="2"/>
    </row>
    <row r="896" spans="8:8" x14ac:dyDescent="0.3">
      <c r="H896" s="2"/>
    </row>
    <row r="897" spans="8:8" x14ac:dyDescent="0.3">
      <c r="H897" s="2"/>
    </row>
    <row r="898" spans="8:8" x14ac:dyDescent="0.3">
      <c r="H898" s="2"/>
    </row>
    <row r="899" spans="8:8" x14ac:dyDescent="0.3">
      <c r="H899" s="2"/>
    </row>
    <row r="900" spans="8:8" x14ac:dyDescent="0.3">
      <c r="H900" s="2"/>
    </row>
    <row r="901" spans="8:8" x14ac:dyDescent="0.3">
      <c r="H901" s="2"/>
    </row>
    <row r="902" spans="8:8" x14ac:dyDescent="0.3">
      <c r="H902" s="2"/>
    </row>
    <row r="903" spans="8:8" x14ac:dyDescent="0.3">
      <c r="H903" s="2"/>
    </row>
    <row r="904" spans="8:8" x14ac:dyDescent="0.3">
      <c r="H904" s="2"/>
    </row>
    <row r="905" spans="8:8" x14ac:dyDescent="0.3">
      <c r="H905" s="2"/>
    </row>
    <row r="906" spans="8:8" x14ac:dyDescent="0.3">
      <c r="H906" s="2"/>
    </row>
    <row r="907" spans="8:8" x14ac:dyDescent="0.3">
      <c r="H907" s="2"/>
    </row>
    <row r="908" spans="8:8" x14ac:dyDescent="0.3">
      <c r="H908" s="2"/>
    </row>
    <row r="909" spans="8:8" x14ac:dyDescent="0.3">
      <c r="H909" s="2"/>
    </row>
    <row r="910" spans="8:8" x14ac:dyDescent="0.3">
      <c r="H910" s="2"/>
    </row>
    <row r="911" spans="8:8" x14ac:dyDescent="0.3">
      <c r="H911" s="2"/>
    </row>
    <row r="912" spans="8:8" x14ac:dyDescent="0.3">
      <c r="H912" s="2"/>
    </row>
    <row r="913" spans="8:8" x14ac:dyDescent="0.3">
      <c r="H913" s="2"/>
    </row>
    <row r="914" spans="8:8" x14ac:dyDescent="0.3">
      <c r="H914" s="2"/>
    </row>
    <row r="915" spans="8:8" x14ac:dyDescent="0.3">
      <c r="H915" s="2"/>
    </row>
    <row r="916" spans="8:8" x14ac:dyDescent="0.3">
      <c r="H916" s="2"/>
    </row>
    <row r="917" spans="8:8" x14ac:dyDescent="0.3">
      <c r="H917" s="2"/>
    </row>
    <row r="918" spans="8:8" x14ac:dyDescent="0.3">
      <c r="H918" s="2"/>
    </row>
    <row r="919" spans="8:8" x14ac:dyDescent="0.3">
      <c r="H919" s="2"/>
    </row>
    <row r="920" spans="8:8" x14ac:dyDescent="0.3">
      <c r="H920" s="2"/>
    </row>
    <row r="921" spans="8:8" x14ac:dyDescent="0.3">
      <c r="H921" s="2"/>
    </row>
    <row r="922" spans="8:8" x14ac:dyDescent="0.3">
      <c r="H922" s="2"/>
    </row>
    <row r="923" spans="8:8" x14ac:dyDescent="0.3">
      <c r="H923" s="2"/>
    </row>
    <row r="924" spans="8:8" x14ac:dyDescent="0.3">
      <c r="H924" s="2"/>
    </row>
    <row r="925" spans="8:8" x14ac:dyDescent="0.3">
      <c r="H925" s="2"/>
    </row>
    <row r="926" spans="8:8" x14ac:dyDescent="0.3">
      <c r="H926" s="2"/>
    </row>
    <row r="927" spans="8:8" x14ac:dyDescent="0.3">
      <c r="H927" s="2"/>
    </row>
    <row r="928" spans="8:8" x14ac:dyDescent="0.3">
      <c r="H928" s="2"/>
    </row>
    <row r="929" spans="8:8" x14ac:dyDescent="0.3">
      <c r="H929" s="2"/>
    </row>
    <row r="930" spans="8:8" x14ac:dyDescent="0.3">
      <c r="H930" s="2"/>
    </row>
    <row r="931" spans="8:8" x14ac:dyDescent="0.3">
      <c r="H931" s="2"/>
    </row>
    <row r="932" spans="8:8" x14ac:dyDescent="0.3">
      <c r="H932" s="2"/>
    </row>
    <row r="933" spans="8:8" x14ac:dyDescent="0.3">
      <c r="H933" s="2"/>
    </row>
    <row r="934" spans="8:8" x14ac:dyDescent="0.3">
      <c r="H934" s="2"/>
    </row>
    <row r="935" spans="8:8" x14ac:dyDescent="0.3">
      <c r="H935" s="2"/>
    </row>
    <row r="936" spans="8:8" x14ac:dyDescent="0.3">
      <c r="H936" s="2"/>
    </row>
    <row r="937" spans="8:8" x14ac:dyDescent="0.3">
      <c r="H937" s="2"/>
    </row>
    <row r="938" spans="8:8" x14ac:dyDescent="0.3">
      <c r="H938" s="2"/>
    </row>
    <row r="939" spans="8:8" x14ac:dyDescent="0.3">
      <c r="H939" s="2"/>
    </row>
    <row r="940" spans="8:8" x14ac:dyDescent="0.3">
      <c r="H940" s="2"/>
    </row>
    <row r="941" spans="8:8" x14ac:dyDescent="0.3">
      <c r="H941" s="2"/>
    </row>
    <row r="942" spans="8:8" x14ac:dyDescent="0.3">
      <c r="H942" s="2"/>
    </row>
    <row r="943" spans="8:8" x14ac:dyDescent="0.3">
      <c r="H943" s="2"/>
    </row>
    <row r="944" spans="8:8" x14ac:dyDescent="0.3">
      <c r="H944" s="2"/>
    </row>
    <row r="945" spans="8:8" x14ac:dyDescent="0.3">
      <c r="H945" s="2"/>
    </row>
    <row r="946" spans="8:8" x14ac:dyDescent="0.3">
      <c r="H946" s="2"/>
    </row>
    <row r="947" spans="8:8" x14ac:dyDescent="0.3">
      <c r="H947" s="2"/>
    </row>
    <row r="948" spans="8:8" x14ac:dyDescent="0.3">
      <c r="H948" s="2"/>
    </row>
    <row r="949" spans="8:8" x14ac:dyDescent="0.3">
      <c r="H949" s="2"/>
    </row>
    <row r="950" spans="8:8" x14ac:dyDescent="0.3">
      <c r="H950" s="2"/>
    </row>
    <row r="951" spans="8:8" x14ac:dyDescent="0.3">
      <c r="H951" s="2"/>
    </row>
    <row r="952" spans="8:8" x14ac:dyDescent="0.3">
      <c r="H952" s="2"/>
    </row>
    <row r="953" spans="8:8" x14ac:dyDescent="0.3">
      <c r="H953" s="2"/>
    </row>
    <row r="954" spans="8:8" x14ac:dyDescent="0.3">
      <c r="H954" s="2"/>
    </row>
    <row r="955" spans="8:8" x14ac:dyDescent="0.3">
      <c r="H955" s="2"/>
    </row>
    <row r="956" spans="8:8" x14ac:dyDescent="0.3">
      <c r="H956" s="2"/>
    </row>
    <row r="957" spans="8:8" x14ac:dyDescent="0.3">
      <c r="H957" s="2"/>
    </row>
    <row r="958" spans="8:8" x14ac:dyDescent="0.3">
      <c r="H958" s="2"/>
    </row>
    <row r="959" spans="8:8" x14ac:dyDescent="0.3">
      <c r="H959" s="2"/>
    </row>
    <row r="960" spans="8:8" x14ac:dyDescent="0.3">
      <c r="H960" s="2"/>
    </row>
    <row r="961" spans="8:8" x14ac:dyDescent="0.3">
      <c r="H961" s="2"/>
    </row>
    <row r="962" spans="8:8" x14ac:dyDescent="0.3">
      <c r="H962" s="2"/>
    </row>
    <row r="963" spans="8:8" x14ac:dyDescent="0.3">
      <c r="H963" s="2"/>
    </row>
    <row r="964" spans="8:8" x14ac:dyDescent="0.3">
      <c r="H964" s="2"/>
    </row>
    <row r="965" spans="8:8" x14ac:dyDescent="0.3">
      <c r="H965" s="2"/>
    </row>
    <row r="966" spans="8:8" x14ac:dyDescent="0.3">
      <c r="H966" s="2"/>
    </row>
    <row r="967" spans="8:8" x14ac:dyDescent="0.3">
      <c r="H967" s="2"/>
    </row>
    <row r="968" spans="8:8" x14ac:dyDescent="0.3">
      <c r="H968" s="2"/>
    </row>
    <row r="969" spans="8:8" x14ac:dyDescent="0.3">
      <c r="H969" s="2"/>
    </row>
    <row r="970" spans="8:8" x14ac:dyDescent="0.3">
      <c r="H970" s="2"/>
    </row>
    <row r="971" spans="8:8" x14ac:dyDescent="0.3">
      <c r="H971" s="2"/>
    </row>
    <row r="972" spans="8:8" x14ac:dyDescent="0.3">
      <c r="H972" s="2"/>
    </row>
    <row r="973" spans="8:8" x14ac:dyDescent="0.3">
      <c r="H973" s="2"/>
    </row>
    <row r="974" spans="8:8" x14ac:dyDescent="0.3">
      <c r="H974" s="2"/>
    </row>
    <row r="975" spans="8:8" x14ac:dyDescent="0.3">
      <c r="H975" s="2"/>
    </row>
    <row r="976" spans="8:8" x14ac:dyDescent="0.3">
      <c r="H976" s="2"/>
    </row>
    <row r="977" spans="8:8" x14ac:dyDescent="0.3">
      <c r="H977" s="2"/>
    </row>
    <row r="978" spans="8:8" x14ac:dyDescent="0.3">
      <c r="H978" s="2"/>
    </row>
    <row r="979" spans="8:8" x14ac:dyDescent="0.3">
      <c r="H979" s="2"/>
    </row>
    <row r="980" spans="8:8" x14ac:dyDescent="0.3">
      <c r="H980" s="2"/>
    </row>
    <row r="981" spans="8:8" x14ac:dyDescent="0.3">
      <c r="H981" s="2"/>
    </row>
    <row r="982" spans="8:8" x14ac:dyDescent="0.3">
      <c r="H982" s="2"/>
    </row>
    <row r="983" spans="8:8" x14ac:dyDescent="0.3">
      <c r="H983" s="2"/>
    </row>
    <row r="984" spans="8:8" x14ac:dyDescent="0.3">
      <c r="H984" s="2"/>
    </row>
    <row r="985" spans="8:8" x14ac:dyDescent="0.3">
      <c r="H985" s="2"/>
    </row>
    <row r="986" spans="8:8" x14ac:dyDescent="0.3">
      <c r="H986" s="2"/>
    </row>
    <row r="987" spans="8:8" x14ac:dyDescent="0.3">
      <c r="H987" s="2"/>
    </row>
    <row r="988" spans="8:8" x14ac:dyDescent="0.3">
      <c r="H988" s="2"/>
    </row>
    <row r="989" spans="8:8" x14ac:dyDescent="0.3">
      <c r="H989" s="2"/>
    </row>
    <row r="990" spans="8:8" x14ac:dyDescent="0.3">
      <c r="H990" s="2"/>
    </row>
    <row r="991" spans="8:8" x14ac:dyDescent="0.3">
      <c r="H991" s="2"/>
    </row>
    <row r="992" spans="8:8" x14ac:dyDescent="0.3">
      <c r="H992" s="2"/>
    </row>
    <row r="993" spans="8:8" x14ac:dyDescent="0.3">
      <c r="H993" s="2"/>
    </row>
    <row r="994" spans="8:8" x14ac:dyDescent="0.3">
      <c r="H994" s="2"/>
    </row>
    <row r="995" spans="8:8" x14ac:dyDescent="0.3">
      <c r="H995" s="2"/>
    </row>
    <row r="996" spans="8:8" x14ac:dyDescent="0.3">
      <c r="H996" s="2"/>
    </row>
    <row r="997" spans="8:8" x14ac:dyDescent="0.3">
      <c r="H997" s="2"/>
    </row>
    <row r="998" spans="8:8" x14ac:dyDescent="0.3">
      <c r="H998" s="2"/>
    </row>
    <row r="999" spans="8:8" x14ac:dyDescent="0.3">
      <c r="H999" s="2"/>
    </row>
    <row r="1000" spans="8:8" x14ac:dyDescent="0.3">
      <c r="H1000" s="2"/>
    </row>
    <row r="1001" spans="8:8" x14ac:dyDescent="0.3">
      <c r="H1001" s="2"/>
    </row>
    <row r="1002" spans="8:8" x14ac:dyDescent="0.3">
      <c r="H1002" s="2"/>
    </row>
    <row r="1003" spans="8:8" x14ac:dyDescent="0.3">
      <c r="H1003" s="2"/>
    </row>
    <row r="1004" spans="8:8" x14ac:dyDescent="0.3">
      <c r="H1004" s="2"/>
    </row>
    <row r="1005" spans="8:8" x14ac:dyDescent="0.3">
      <c r="H1005" s="2"/>
    </row>
    <row r="1006" spans="8:8" x14ac:dyDescent="0.3">
      <c r="H1006" s="2"/>
    </row>
  </sheetData>
  <phoneticPr fontId="2" type="noConversion"/>
  <dataValidations count="2">
    <dataValidation type="list" allowBlank="1" showInputMessage="1" showErrorMessage="1" sqref="B4" xr:uid="{754BF73C-57EA-43EF-A7EE-A2F85A2C726C}">
      <formula1>"Hourly,Daily,Monthly,Yearly"</formula1>
    </dataValidation>
    <dataValidation type="list" allowBlank="1" showInputMessage="1" sqref="B2:N2" xr:uid="{BB641491-6E45-405F-9010-1C1A36AC1E69}">
      <formula1>MyList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ECCAF-EEC3-4310-A0C3-C1C4E2D3B268}">
  <sheetPr codeName="Sheet2"/>
  <dimension ref="A1:F616"/>
  <sheetViews>
    <sheetView workbookViewId="0">
      <selection activeCell="D1" sqref="D1:E1048576"/>
    </sheetView>
  </sheetViews>
  <sheetFormatPr defaultRowHeight="14.4" x14ac:dyDescent="0.3"/>
  <cols>
    <col min="1" max="1" width="9" bestFit="1" customWidth="1"/>
    <col min="2" max="2" width="11" bestFit="1" customWidth="1"/>
    <col min="3" max="3" width="35.88671875" bestFit="1" customWidth="1"/>
    <col min="4" max="4" width="44" hidden="1" customWidth="1"/>
    <col min="5" max="5" width="9" hidden="1" customWidth="1"/>
    <col min="6" max="6" width="37.109375" bestFit="1" customWidth="1"/>
  </cols>
  <sheetData>
    <row r="1" spans="1:6" x14ac:dyDescent="0.3">
      <c r="A1" t="s">
        <v>5</v>
      </c>
      <c r="B1" t="s">
        <v>6</v>
      </c>
      <c r="C1" t="s">
        <v>0</v>
      </c>
      <c r="D1" t="s">
        <v>568</v>
      </c>
      <c r="E1" t="s">
        <v>566</v>
      </c>
      <c r="F1" t="s">
        <v>567</v>
      </c>
    </row>
    <row r="2" spans="1:6" x14ac:dyDescent="0.3">
      <c r="A2">
        <v>2</v>
      </c>
      <c r="B2" s="1" t="s">
        <v>7</v>
      </c>
      <c r="C2" s="1" t="s">
        <v>8</v>
      </c>
      <c r="D2" s="1" t="str">
        <f>+TagData[[#This Row],[TagName]]&amp;"_"&amp;TagData[[#This Row],[Description]]</f>
        <v xml:space="preserve">FIC36612_ Flow control from E36610 to C36611 </v>
      </c>
      <c r="E2" cm="1">
        <f t="array" aca="1" ref="E2" ca="1">IF(ISNUMBER(SEARCH(INDIRECT(CELL("address")),TagData[[#This Row],[Combined]])),MAX($E$1:E1)+1,0)</f>
        <v>0</v>
      </c>
      <c r="F2" s="1" t="str">
        <f ca="1">IFERROR(INDEX(TagData[],MATCH(ROWS(F$1:$G1),TagData[Search],0),4),"")</f>
        <v>JI37155_Current of Vent Conden Pump P37111</v>
      </c>
    </row>
    <row r="3" spans="1:6" x14ac:dyDescent="0.3">
      <c r="A3">
        <v>1</v>
      </c>
      <c r="B3" s="1" t="s">
        <v>9</v>
      </c>
      <c r="C3" s="1" t="s">
        <v>10</v>
      </c>
      <c r="D3" s="1" t="str">
        <f>+TagData[[#This Row],[TagName]]&amp;"_"&amp;TagData[[#This Row],[Description]]</f>
        <v>TIC36611_Temp Control from E36610 to C36119</v>
      </c>
      <c r="E3" cm="1">
        <f t="array" aca="1" ref="E3" ca="1">IF(ISNUMBER(SEARCH(INDIRECT(CELL("address")),TagData[[#This Row],[Combined]])),MAX($E$1:E2)+1,0)</f>
        <v>0</v>
      </c>
      <c r="F3" s="1" t="str">
        <f ca="1">IFERROR(INDEX(TagData[],MATCH(ROWS(F$1:$G2),TagData[Search],0),4),"")</f>
        <v>JI37155_Current of Vent Conden Pump P37111</v>
      </c>
    </row>
    <row r="4" spans="1:6" x14ac:dyDescent="0.3">
      <c r="A4">
        <v>6</v>
      </c>
      <c r="B4" s="1" t="s">
        <v>11</v>
      </c>
      <c r="C4" s="1" t="s">
        <v>12</v>
      </c>
      <c r="D4" s="1" t="str">
        <f>+TagData[[#This Row],[TagName]]&amp;"_"&amp;TagData[[#This Row],[Description]]</f>
        <v xml:space="preserve">TIC36607_ Temp of ODCB Pri Cooler E36609 </v>
      </c>
      <c r="E4" cm="1">
        <f t="array" aca="1" ref="E4" ca="1">IF(ISNUMBER(SEARCH(INDIRECT(CELL("address")),TagData[[#This Row],[Combined]])),MAX($E$1:E3)+1,0)</f>
        <v>0</v>
      </c>
      <c r="F4" s="1" t="str">
        <f ca="1">IFERROR(INDEX(TagData[],MATCH(ROWS(F$1:$G3),TagData[Search],0),4),"")</f>
        <v/>
      </c>
    </row>
    <row r="5" spans="1:6" x14ac:dyDescent="0.3">
      <c r="A5">
        <v>7</v>
      </c>
      <c r="B5" s="1" t="s">
        <v>9</v>
      </c>
      <c r="C5" s="1" t="s">
        <v>10</v>
      </c>
      <c r="D5" s="1" t="str">
        <f>+TagData[[#This Row],[TagName]]&amp;"_"&amp;TagData[[#This Row],[Description]]</f>
        <v>TIC36611_Temp Control from E36610 to C36119</v>
      </c>
      <c r="E5" cm="1">
        <f t="array" aca="1" ref="E5" ca="1">IF(ISNUMBER(SEARCH(INDIRECT(CELL("address")),TagData[[#This Row],[Combined]])),MAX($E$1:E4)+1,0)</f>
        <v>0</v>
      </c>
      <c r="F5" s="1" t="str">
        <f ca="1">IFERROR(INDEX(TagData[],MATCH(ROWS(F$1:$G4),TagData[Search],0),4),"")</f>
        <v/>
      </c>
    </row>
    <row r="6" spans="1:6" x14ac:dyDescent="0.3">
      <c r="A6">
        <v>11</v>
      </c>
      <c r="B6" s="1" t="s">
        <v>11</v>
      </c>
      <c r="C6" s="1" t="s">
        <v>13</v>
      </c>
      <c r="D6" s="1" t="str">
        <f>+TagData[[#This Row],[TagName]]&amp;"_"&amp;TagData[[#This Row],[Description]]</f>
        <v xml:space="preserve">TIC36607_ Temp control of Pri CoolerE36609 </v>
      </c>
      <c r="E6" cm="1">
        <f t="array" aca="1" ref="E6" ca="1">IF(ISNUMBER(SEARCH(INDIRECT(CELL("address")),TagData[[#This Row],[Combined]])),MAX($E$1:E5)+1,0)</f>
        <v>0</v>
      </c>
      <c r="F6" s="1" t="str">
        <f ca="1">IFERROR(INDEX(TagData[],MATCH(ROWS(F$1:$G5),TagData[Search],0),4),"")</f>
        <v/>
      </c>
    </row>
    <row r="7" spans="1:6" x14ac:dyDescent="0.3">
      <c r="A7">
        <v>12</v>
      </c>
      <c r="B7" s="1" t="s">
        <v>11</v>
      </c>
      <c r="C7" s="1" t="s">
        <v>12</v>
      </c>
      <c r="D7" s="1" t="str">
        <f>+TagData[[#This Row],[TagName]]&amp;"_"&amp;TagData[[#This Row],[Description]]</f>
        <v xml:space="preserve">TIC36607_ Temp of ODCB Pri Cooler E36609 </v>
      </c>
      <c r="E7" cm="1">
        <f t="array" aca="1" ref="E7" ca="1">IF(ISNUMBER(SEARCH(INDIRECT(CELL("address")),TagData[[#This Row],[Combined]])),MAX($E$1:E6)+1,0)</f>
        <v>0</v>
      </c>
      <c r="F7" s="1" t="str">
        <f ca="1">IFERROR(INDEX(TagData[],MATCH(ROWS(F$1:$G6),TagData[Search],0),4),"")</f>
        <v/>
      </c>
    </row>
    <row r="8" spans="1:6" x14ac:dyDescent="0.3">
      <c r="A8">
        <v>16</v>
      </c>
      <c r="B8" s="1" t="s">
        <v>14</v>
      </c>
      <c r="C8" s="1" t="s">
        <v>15</v>
      </c>
      <c r="D8" s="1" t="str">
        <f>+TagData[[#This Row],[TagName]]&amp;"_"&amp;TagData[[#This Row],[Description]]</f>
        <v>TI36662_ Temp WCR from Pri Cooler E36609</v>
      </c>
      <c r="E8" cm="1">
        <f t="array" aca="1" ref="E8" ca="1">IF(ISNUMBER(SEARCH(INDIRECT(CELL("address")),TagData[[#This Row],[Combined]])),MAX($E$1:E7)+1,0)</f>
        <v>0</v>
      </c>
      <c r="F8" s="1" t="str">
        <f ca="1">IFERROR(INDEX(TagData[],MATCH(ROWS(F$1:$G7),TagData[Search],0),4),"")</f>
        <v/>
      </c>
    </row>
    <row r="9" spans="1:6" x14ac:dyDescent="0.3">
      <c r="A9">
        <v>17</v>
      </c>
      <c r="B9" s="1" t="s">
        <v>11</v>
      </c>
      <c r="C9" s="1" t="s">
        <v>13</v>
      </c>
      <c r="D9" s="1" t="str">
        <f>+TagData[[#This Row],[TagName]]&amp;"_"&amp;TagData[[#This Row],[Description]]</f>
        <v xml:space="preserve">TIC36607_ Temp control of Pri CoolerE36609 </v>
      </c>
      <c r="E9" cm="1">
        <f t="array" aca="1" ref="E9" ca="1">IF(ISNUMBER(SEARCH(INDIRECT(CELL("address")),TagData[[#This Row],[Combined]])),MAX($E$1:E8)+1,0)</f>
        <v>0</v>
      </c>
      <c r="F9" s="1" t="str">
        <f ca="1">IFERROR(INDEX(TagData[],MATCH(ROWS(F$1:$G8),TagData[Search],0),4),"")</f>
        <v/>
      </c>
    </row>
    <row r="10" spans="1:6" x14ac:dyDescent="0.3">
      <c r="A10">
        <v>22</v>
      </c>
      <c r="B10" s="1" t="s">
        <v>14</v>
      </c>
      <c r="C10" s="1" t="s">
        <v>15</v>
      </c>
      <c r="D10" s="1" t="str">
        <f>+TagData[[#This Row],[TagName]]&amp;"_"&amp;TagData[[#This Row],[Description]]</f>
        <v>TI36662_ Temp WCR from Pri Cooler E36609</v>
      </c>
      <c r="E10" cm="1">
        <f t="array" aca="1" ref="E10" ca="1">IF(ISNUMBER(SEARCH(INDIRECT(CELL("address")),TagData[[#This Row],[Combined]])),MAX($E$1:E9)+1,0)</f>
        <v>0</v>
      </c>
      <c r="F10" s="1" t="str">
        <f ca="1">IFERROR(INDEX(TagData[],MATCH(ROWS(F$1:$G9),TagData[Search],0),4),"")</f>
        <v/>
      </c>
    </row>
    <row r="11" spans="1:6" x14ac:dyDescent="0.3">
      <c r="A11">
        <v>21</v>
      </c>
      <c r="B11" s="1" t="s">
        <v>16</v>
      </c>
      <c r="C11" s="1" t="s">
        <v>17</v>
      </c>
      <c r="D11" s="1" t="str">
        <f>+TagData[[#This Row],[TagName]]&amp;"_"&amp;TagData[[#This Row],[Description]]</f>
        <v>TI36663_ Temp RFR from Sec cooler E36610</v>
      </c>
      <c r="E11" cm="1">
        <f t="array" aca="1" ref="E11" ca="1">IF(ISNUMBER(SEARCH(INDIRECT(CELL("address")),TagData[[#This Row],[Combined]])),MAX($E$1:E10)+1,0)</f>
        <v>0</v>
      </c>
      <c r="F11" s="1" t="str">
        <f ca="1">IFERROR(INDEX(TagData[],MATCH(ROWS(F$1:$G10),TagData[Search],0),4),"")</f>
        <v/>
      </c>
    </row>
    <row r="12" spans="1:6" x14ac:dyDescent="0.3">
      <c r="A12">
        <v>26</v>
      </c>
      <c r="B12" s="1" t="s">
        <v>18</v>
      </c>
      <c r="C12" s="1" t="s">
        <v>19</v>
      </c>
      <c r="D12" s="1" t="str">
        <f>+TagData[[#This Row],[TagName]]&amp;"_"&amp;TagData[[#This Row],[Description]]</f>
        <v>JI36644_Current of Recycle Phos Feed P36614</v>
      </c>
      <c r="E12" cm="1">
        <f t="array" aca="1" ref="E12" ca="1">IF(ISNUMBER(SEARCH(INDIRECT(CELL("address")),TagData[[#This Row],[Combined]])),MAX($E$1:E11)+1,0)</f>
        <v>0</v>
      </c>
      <c r="F12" s="1" t="str">
        <f ca="1">IFERROR(INDEX(TagData[],MATCH(ROWS(F$1:$G11),TagData[Search],0),4),"")</f>
        <v/>
      </c>
    </row>
    <row r="13" spans="1:6" x14ac:dyDescent="0.3">
      <c r="A13">
        <v>27</v>
      </c>
      <c r="B13" s="1" t="s">
        <v>16</v>
      </c>
      <c r="C13" s="1" t="s">
        <v>17</v>
      </c>
      <c r="D13" s="1" t="str">
        <f>+TagData[[#This Row],[TagName]]&amp;"_"&amp;TagData[[#This Row],[Description]]</f>
        <v>TI36663_ Temp RFR from Sec cooler E36610</v>
      </c>
      <c r="E13" cm="1">
        <f t="array" aca="1" ref="E13" ca="1">IF(ISNUMBER(SEARCH(INDIRECT(CELL("address")),TagData[[#This Row],[Combined]])),MAX($E$1:E12)+1,0)</f>
        <v>0</v>
      </c>
      <c r="F13" s="1" t="str">
        <f ca="1">IFERROR(INDEX(TagData[],MATCH(ROWS(F$1:$G12),TagData[Search],0),4),"")</f>
        <v/>
      </c>
    </row>
    <row r="14" spans="1:6" x14ac:dyDescent="0.3">
      <c r="A14">
        <v>32</v>
      </c>
      <c r="B14" s="1" t="s">
        <v>18</v>
      </c>
      <c r="C14" s="1" t="s">
        <v>19</v>
      </c>
      <c r="D14" s="1" t="str">
        <f>+TagData[[#This Row],[TagName]]&amp;"_"&amp;TagData[[#This Row],[Description]]</f>
        <v>JI36644_Current of Recycle Phos Feed P36614</v>
      </c>
      <c r="E14" cm="1">
        <f t="array" aca="1" ref="E14" ca="1">IF(ISNUMBER(SEARCH(INDIRECT(CELL("address")),TagData[[#This Row],[Combined]])),MAX($E$1:E13)+1,0)</f>
        <v>0</v>
      </c>
      <c r="F14" s="1" t="str">
        <f ca="1">IFERROR(INDEX(TagData[],MATCH(ROWS(F$1:$G13),TagData[Search],0),4),"")</f>
        <v/>
      </c>
    </row>
    <row r="15" spans="1:6" x14ac:dyDescent="0.3">
      <c r="A15">
        <v>31</v>
      </c>
      <c r="B15" s="1" t="s">
        <v>20</v>
      </c>
      <c r="C15" s="1" t="s">
        <v>21</v>
      </c>
      <c r="D15" s="1" t="str">
        <f>+TagData[[#This Row],[TagName]]&amp;"_"&amp;TagData[[#This Row],[Description]]</f>
        <v>TI36655_ Temp of PHO Feed Pump P36614</v>
      </c>
      <c r="E15" cm="1">
        <f t="array" aca="1" ref="E15" ca="1">IF(ISNUMBER(SEARCH(INDIRECT(CELL("address")),TagData[[#This Row],[Combined]])),MAX($E$1:E14)+1,0)</f>
        <v>0</v>
      </c>
      <c r="F15" s="1" t="str">
        <f ca="1">IFERROR(INDEX(TagData[],MATCH(ROWS(F$1:$G14),TagData[Search],0),4),"")</f>
        <v/>
      </c>
    </row>
    <row r="16" spans="1:6" x14ac:dyDescent="0.3">
      <c r="A16">
        <v>36</v>
      </c>
      <c r="B16" s="1" t="s">
        <v>22</v>
      </c>
      <c r="C16" s="1" t="s">
        <v>23</v>
      </c>
      <c r="D16" s="1" t="str">
        <f>+TagData[[#This Row],[TagName]]&amp;"_"&amp;TagData[[#This Row],[Description]]</f>
        <v xml:space="preserve">PI36648_ Discharge Pressure of P36614 </v>
      </c>
      <c r="E16" cm="1">
        <f t="array" aca="1" ref="E16" ca="1">IF(ISNUMBER(SEARCH(INDIRECT(CELL("address")),TagData[[#This Row],[Combined]])),MAX($E$1:E15)+1,0)</f>
        <v>0</v>
      </c>
      <c r="F16" s="1" t="str">
        <f ca="1">IFERROR(INDEX(TagData[],MATCH(ROWS(F$1:$G15),TagData[Search],0),4),"")</f>
        <v/>
      </c>
    </row>
    <row r="17" spans="1:6" x14ac:dyDescent="0.3">
      <c r="A17">
        <v>37</v>
      </c>
      <c r="B17" s="1" t="s">
        <v>20</v>
      </c>
      <c r="C17" s="1" t="s">
        <v>21</v>
      </c>
      <c r="D17" s="1" t="str">
        <f>+TagData[[#This Row],[TagName]]&amp;"_"&amp;TagData[[#This Row],[Description]]</f>
        <v>TI36655_ Temp of PHO Feed Pump P36614</v>
      </c>
      <c r="E17" cm="1">
        <f t="array" aca="1" ref="E17" ca="1">IF(ISNUMBER(SEARCH(INDIRECT(CELL("address")),TagData[[#This Row],[Combined]])),MAX($E$1:E16)+1,0)</f>
        <v>0</v>
      </c>
      <c r="F17" s="1" t="str">
        <f ca="1">IFERROR(INDEX(TagData[],MATCH(ROWS(F$1:$G16),TagData[Search],0),4),"")</f>
        <v/>
      </c>
    </row>
    <row r="18" spans="1:6" x14ac:dyDescent="0.3">
      <c r="A18">
        <v>41</v>
      </c>
      <c r="B18" s="1" t="s">
        <v>24</v>
      </c>
      <c r="C18" s="1" t="s">
        <v>25</v>
      </c>
      <c r="D18" s="1" t="str">
        <f>+TagData[[#This Row],[TagName]]&amp;"_"&amp;TagData[[#This Row],[Description]]</f>
        <v>JI36626_Current of Absorber Pump P36612</v>
      </c>
      <c r="E18" cm="1">
        <f t="array" aca="1" ref="E18" ca="1">IF(ISNUMBER(SEARCH(INDIRECT(CELL("address")),TagData[[#This Row],[Combined]])),MAX($E$1:E17)+1,0)</f>
        <v>0</v>
      </c>
      <c r="F18" s="1" t="str">
        <f ca="1">IFERROR(INDEX(TagData[],MATCH(ROWS(F$1:$G17),TagData[Search],0),4),"")</f>
        <v/>
      </c>
    </row>
    <row r="19" spans="1:6" x14ac:dyDescent="0.3">
      <c r="A19">
        <v>42</v>
      </c>
      <c r="B19" s="1" t="s">
        <v>22</v>
      </c>
      <c r="C19" s="1" t="s">
        <v>23</v>
      </c>
      <c r="D19" s="1" t="str">
        <f>+TagData[[#This Row],[TagName]]&amp;"_"&amp;TagData[[#This Row],[Description]]</f>
        <v xml:space="preserve">PI36648_ Discharge Pressure of P36614 </v>
      </c>
      <c r="E19" cm="1">
        <f t="array" aca="1" ref="E19" ca="1">IF(ISNUMBER(SEARCH(INDIRECT(CELL("address")),TagData[[#This Row],[Combined]])),MAX($E$1:E18)+1,0)</f>
        <v>0</v>
      </c>
      <c r="F19" s="1" t="str">
        <f ca="1">IFERROR(INDEX(TagData[],MATCH(ROWS(F$1:$G18),TagData[Search],0),4),"")</f>
        <v/>
      </c>
    </row>
    <row r="20" spans="1:6" x14ac:dyDescent="0.3">
      <c r="A20">
        <v>47</v>
      </c>
      <c r="B20" s="1" t="s">
        <v>24</v>
      </c>
      <c r="C20" s="1" t="s">
        <v>25</v>
      </c>
      <c r="D20" s="1" t="str">
        <f>+TagData[[#This Row],[TagName]]&amp;"_"&amp;TagData[[#This Row],[Description]]</f>
        <v>JI36626_Current of Absorber Pump P36612</v>
      </c>
      <c r="E20" cm="1">
        <f t="array" aca="1" ref="E20" ca="1">IF(ISNUMBER(SEARCH(INDIRECT(CELL("address")),TagData[[#This Row],[Combined]])),MAX($E$1:E19)+1,0)</f>
        <v>0</v>
      </c>
      <c r="F20" s="1" t="str">
        <f ca="1">IFERROR(INDEX(TagData[],MATCH(ROWS(F$1:$G19),TagData[Search],0),4),"")</f>
        <v/>
      </c>
    </row>
    <row r="21" spans="1:6" x14ac:dyDescent="0.3">
      <c r="A21">
        <v>46</v>
      </c>
      <c r="B21" s="1" t="s">
        <v>26</v>
      </c>
      <c r="C21" s="1" t="s">
        <v>27</v>
      </c>
      <c r="D21" s="1" t="str">
        <f>+TagData[[#This Row],[TagName]]&amp;"_"&amp;TagData[[#This Row],[Description]]</f>
        <v>TI36654_ Temp of Absorber Pump P36612</v>
      </c>
      <c r="E21" cm="1">
        <f t="array" aca="1" ref="E21" ca="1">IF(ISNUMBER(SEARCH(INDIRECT(CELL("address")),TagData[[#This Row],[Combined]])),MAX($E$1:E20)+1,0)</f>
        <v>0</v>
      </c>
      <c r="F21" s="1" t="str">
        <f ca="1">IFERROR(INDEX(TagData[],MATCH(ROWS(F$1:$G20),TagData[Search],0),4),"")</f>
        <v/>
      </c>
    </row>
    <row r="22" spans="1:6" x14ac:dyDescent="0.3">
      <c r="A22">
        <v>51</v>
      </c>
      <c r="B22" s="1" t="s">
        <v>28</v>
      </c>
      <c r="C22" s="1" t="s">
        <v>29</v>
      </c>
      <c r="D22" s="1" t="str">
        <f>+TagData[[#This Row],[TagName]]&amp;"_"&amp;TagData[[#This Row],[Description]]</f>
        <v>FI36623_ Flow from E36613 to C36611</v>
      </c>
      <c r="E22" cm="1">
        <f t="array" aca="1" ref="E22" ca="1">IF(ISNUMBER(SEARCH(INDIRECT(CELL("address")),TagData[[#This Row],[Combined]])),MAX($E$1:E21)+1,0)</f>
        <v>0</v>
      </c>
      <c r="F22" s="1" t="str">
        <f ca="1">IFERROR(INDEX(TagData[],MATCH(ROWS(F$1:$G21),TagData[Search],0),4),"")</f>
        <v/>
      </c>
    </row>
    <row r="23" spans="1:6" x14ac:dyDescent="0.3">
      <c r="A23">
        <v>52</v>
      </c>
      <c r="B23" s="1" t="s">
        <v>26</v>
      </c>
      <c r="C23" s="1" t="s">
        <v>27</v>
      </c>
      <c r="D23" s="1" t="str">
        <f>+TagData[[#This Row],[TagName]]&amp;"_"&amp;TagData[[#This Row],[Description]]</f>
        <v>TI36654_ Temp of Absorber Pump P36612</v>
      </c>
      <c r="E23" cm="1">
        <f t="array" aca="1" ref="E23" ca="1">IF(ISNUMBER(SEARCH(INDIRECT(CELL("address")),TagData[[#This Row],[Combined]])),MAX($E$1:E22)+1,0)</f>
        <v>0</v>
      </c>
      <c r="F23" s="1" t="str">
        <f ca="1">IFERROR(INDEX(TagData[],MATCH(ROWS(F$1:$G22),TagData[Search],0),4),"")</f>
        <v/>
      </c>
    </row>
    <row r="24" spans="1:6" x14ac:dyDescent="0.3">
      <c r="A24">
        <v>57</v>
      </c>
      <c r="B24" s="1" t="s">
        <v>28</v>
      </c>
      <c r="C24" s="1" t="s">
        <v>29</v>
      </c>
      <c r="D24" s="1" t="str">
        <f>+TagData[[#This Row],[TagName]]&amp;"_"&amp;TagData[[#This Row],[Description]]</f>
        <v>FI36623_ Flow from E36613 to C36611</v>
      </c>
      <c r="E24" cm="1">
        <f t="array" aca="1" ref="E24" ca="1">IF(ISNUMBER(SEARCH(INDIRECT(CELL("address")),TagData[[#This Row],[Combined]])),MAX($E$1:E23)+1,0)</f>
        <v>0</v>
      </c>
      <c r="F24" s="1" t="str">
        <f ca="1">IFERROR(INDEX(TagData[],MATCH(ROWS(F$1:$G23),TagData[Search],0),4),"")</f>
        <v/>
      </c>
    </row>
    <row r="25" spans="1:6" x14ac:dyDescent="0.3">
      <c r="A25">
        <v>56</v>
      </c>
      <c r="B25" s="1" t="s">
        <v>30</v>
      </c>
      <c r="C25" s="1" t="s">
        <v>31</v>
      </c>
      <c r="D25" s="1" t="str">
        <f>+TagData[[#This Row],[TagName]]&amp;"_"&amp;TagData[[#This Row],[Description]]</f>
        <v xml:space="preserve">TI36622_ Temp from E36613 to C36611 </v>
      </c>
      <c r="E25" cm="1">
        <f t="array" aca="1" ref="E25" ca="1">IF(ISNUMBER(SEARCH(INDIRECT(CELL("address")),TagData[[#This Row],[Combined]])),MAX($E$1:E24)+1,0)</f>
        <v>0</v>
      </c>
      <c r="F25" s="1" t="str">
        <f ca="1">IFERROR(INDEX(TagData[],MATCH(ROWS(F$1:$G24),TagData[Search],0),4),"")</f>
        <v/>
      </c>
    </row>
    <row r="26" spans="1:6" x14ac:dyDescent="0.3">
      <c r="A26">
        <v>61</v>
      </c>
      <c r="B26" s="1" t="s">
        <v>32</v>
      </c>
      <c r="C26" s="1" t="s">
        <v>33</v>
      </c>
      <c r="D26" s="1" t="str">
        <f>+TagData[[#This Row],[TagName]]&amp;"_"&amp;TagData[[#This Row],[Description]]</f>
        <v>JI36624_Current of Intermediate  pump P36619</v>
      </c>
      <c r="E26" cm="1">
        <f t="array" aca="1" ref="E26" ca="1">IF(ISNUMBER(SEARCH(INDIRECT(CELL("address")),TagData[[#This Row],[Combined]])),MAX($E$1:E25)+1,0)</f>
        <v>0</v>
      </c>
      <c r="F26" s="1" t="str">
        <f ca="1">IFERROR(INDEX(TagData[],MATCH(ROWS(F$1:$G25),TagData[Search],0),4),"")</f>
        <v/>
      </c>
    </row>
    <row r="27" spans="1:6" x14ac:dyDescent="0.3">
      <c r="A27">
        <v>62</v>
      </c>
      <c r="B27" s="1" t="s">
        <v>30</v>
      </c>
      <c r="C27" s="1" t="s">
        <v>31</v>
      </c>
      <c r="D27" s="1" t="str">
        <f>+TagData[[#This Row],[TagName]]&amp;"_"&amp;TagData[[#This Row],[Description]]</f>
        <v xml:space="preserve">TI36622_ Temp from E36613 to C36611 </v>
      </c>
      <c r="E27" cm="1">
        <f t="array" aca="1" ref="E27" ca="1">IF(ISNUMBER(SEARCH(INDIRECT(CELL("address")),TagData[[#This Row],[Combined]])),MAX($E$1:E26)+1,0)</f>
        <v>0</v>
      </c>
      <c r="F27" s="1" t="str">
        <f ca="1">IFERROR(INDEX(TagData[],MATCH(ROWS(F$1:$G26),TagData[Search],0),4),"")</f>
        <v/>
      </c>
    </row>
    <row r="28" spans="1:6" x14ac:dyDescent="0.3">
      <c r="A28">
        <v>67</v>
      </c>
      <c r="B28" s="1" t="s">
        <v>32</v>
      </c>
      <c r="C28" s="1" t="s">
        <v>33</v>
      </c>
      <c r="D28" s="1" t="str">
        <f>+TagData[[#This Row],[TagName]]&amp;"_"&amp;TagData[[#This Row],[Description]]</f>
        <v>JI36624_Current of Intermediate  pump P36619</v>
      </c>
      <c r="E28" cm="1">
        <f t="array" aca="1" ref="E28" ca="1">IF(ISNUMBER(SEARCH(INDIRECT(CELL("address")),TagData[[#This Row],[Combined]])),MAX($E$1:E27)+1,0)</f>
        <v>0</v>
      </c>
      <c r="F28" s="1" t="str">
        <f ca="1">IFERROR(INDEX(TagData[],MATCH(ROWS(F$1:$G27),TagData[Search],0),4),"")</f>
        <v/>
      </c>
    </row>
    <row r="29" spans="1:6" x14ac:dyDescent="0.3">
      <c r="A29">
        <v>66</v>
      </c>
      <c r="B29" s="1" t="s">
        <v>34</v>
      </c>
      <c r="C29" s="1" t="s">
        <v>35</v>
      </c>
      <c r="D29" s="1" t="str">
        <f>+TagData[[#This Row],[TagName]]&amp;"_"&amp;TagData[[#This Row],[Description]]</f>
        <v>TI36653_ Temp of Intermidiate Pump P36619</v>
      </c>
      <c r="E29" cm="1">
        <f t="array" aca="1" ref="E29" ca="1">IF(ISNUMBER(SEARCH(INDIRECT(CELL("address")),TagData[[#This Row],[Combined]])),MAX($E$1:E28)+1,0)</f>
        <v>0</v>
      </c>
      <c r="F29" s="1" t="str">
        <f ca="1">IFERROR(INDEX(TagData[],MATCH(ROWS(F$1:$G28),TagData[Search],0),4),"")</f>
        <v/>
      </c>
    </row>
    <row r="30" spans="1:6" x14ac:dyDescent="0.3">
      <c r="A30">
        <v>71</v>
      </c>
      <c r="B30" s="1" t="s">
        <v>36</v>
      </c>
      <c r="C30" s="1" t="s">
        <v>37</v>
      </c>
      <c r="D30" s="1" t="str">
        <f>+TagData[[#This Row],[TagName]]&amp;"_"&amp;TagData[[#This Row],[Description]]</f>
        <v>FI36651_Flow from E36618 to 5th Tray C36611</v>
      </c>
      <c r="E30" cm="1">
        <f t="array" aca="1" ref="E30" ca="1">IF(ISNUMBER(SEARCH(INDIRECT(CELL("address")),TagData[[#This Row],[Combined]])),MAX($E$1:E29)+1,0)</f>
        <v>0</v>
      </c>
      <c r="F30" s="1" t="str">
        <f ca="1">IFERROR(INDEX(TagData[],MATCH(ROWS(F$1:$G29),TagData[Search],0),4),"")</f>
        <v/>
      </c>
    </row>
    <row r="31" spans="1:6" x14ac:dyDescent="0.3">
      <c r="A31">
        <v>72</v>
      </c>
      <c r="B31" s="1" t="s">
        <v>34</v>
      </c>
      <c r="C31" s="1" t="s">
        <v>35</v>
      </c>
      <c r="D31" s="1" t="str">
        <f>+TagData[[#This Row],[TagName]]&amp;"_"&amp;TagData[[#This Row],[Description]]</f>
        <v>TI36653_ Temp of Intermidiate Pump P36619</v>
      </c>
      <c r="E31" cm="1">
        <f t="array" aca="1" ref="E31" ca="1">IF(ISNUMBER(SEARCH(INDIRECT(CELL("address")),TagData[[#This Row],[Combined]])),MAX($E$1:E30)+1,0)</f>
        <v>0</v>
      </c>
      <c r="F31" s="1" t="str">
        <f ca="1">IFERROR(INDEX(TagData[],MATCH(ROWS(F$1:$G30),TagData[Search],0),4),"")</f>
        <v/>
      </c>
    </row>
    <row r="32" spans="1:6" x14ac:dyDescent="0.3">
      <c r="A32">
        <v>77</v>
      </c>
      <c r="B32" s="1" t="s">
        <v>36</v>
      </c>
      <c r="C32" s="1" t="s">
        <v>37</v>
      </c>
      <c r="D32" s="1" t="str">
        <f>+TagData[[#This Row],[TagName]]&amp;"_"&amp;TagData[[#This Row],[Description]]</f>
        <v>FI36651_Flow from E36618 to 5th Tray C36611</v>
      </c>
      <c r="E32" cm="1">
        <f t="array" aca="1" ref="E32" ca="1">IF(ISNUMBER(SEARCH(INDIRECT(CELL("address")),TagData[[#This Row],[Combined]])),MAX($E$1:E31)+1,0)</f>
        <v>0</v>
      </c>
      <c r="F32" s="1" t="str">
        <f ca="1">IFERROR(INDEX(TagData[],MATCH(ROWS(F$1:$G31),TagData[Search],0),4),"")</f>
        <v/>
      </c>
    </row>
    <row r="33" spans="1:6" x14ac:dyDescent="0.3">
      <c r="A33">
        <v>76</v>
      </c>
      <c r="B33" s="1" t="s">
        <v>2</v>
      </c>
      <c r="C33" s="1" t="s">
        <v>3</v>
      </c>
      <c r="D33" s="1" t="str">
        <f>+TagData[[#This Row],[TagName]]&amp;"_"&amp;TagData[[#This Row],[Description]]</f>
        <v>TIC36620_ Temp of PHO from E36618 to C36611</v>
      </c>
      <c r="E33" cm="1">
        <f t="array" aca="1" ref="E33" ca="1">IF(ISNUMBER(SEARCH(INDIRECT(CELL("address")),TagData[[#This Row],[Combined]])),MAX($E$1:E32)+1,0)</f>
        <v>0</v>
      </c>
      <c r="F33" s="1" t="str">
        <f ca="1">IFERROR(INDEX(TagData[],MATCH(ROWS(F$1:$G32),TagData[Search],0),4),"")</f>
        <v/>
      </c>
    </row>
    <row r="34" spans="1:6" x14ac:dyDescent="0.3">
      <c r="A34">
        <v>82</v>
      </c>
      <c r="B34" s="1" t="s">
        <v>2</v>
      </c>
      <c r="C34" s="1" t="s">
        <v>3</v>
      </c>
      <c r="D34" s="1" t="str">
        <f>+TagData[[#This Row],[TagName]]&amp;"_"&amp;TagData[[#This Row],[Description]]</f>
        <v>TIC36620_ Temp of PHO from E36618 to C36611</v>
      </c>
      <c r="E34" cm="1">
        <f t="array" aca="1" ref="E34" ca="1">IF(ISNUMBER(SEARCH(INDIRECT(CELL("address")),TagData[[#This Row],[Combined]])),MAX($E$1:E33)+1,0)</f>
        <v>0</v>
      </c>
      <c r="F34" s="1" t="str">
        <f ca="1">IFERROR(INDEX(TagData[],MATCH(ROWS(F$1:$G33),TagData[Search],0),4),"")</f>
        <v/>
      </c>
    </row>
    <row r="35" spans="1:6" x14ac:dyDescent="0.3">
      <c r="A35">
        <v>78</v>
      </c>
      <c r="B35" s="1" t="s">
        <v>38</v>
      </c>
      <c r="C35" s="1" t="s">
        <v>39</v>
      </c>
      <c r="D35" s="1" t="str">
        <f>+TagData[[#This Row],[TagName]]&amp;"_"&amp;TagData[[#This Row],[Description]]</f>
        <v>TIC36630_Temp of PHO Absorber C36611 bottom</v>
      </c>
      <c r="E35" cm="1">
        <f t="array" aca="1" ref="E35" ca="1">IF(ISNUMBER(SEARCH(INDIRECT(CELL("address")),TagData[[#This Row],[Combined]])),MAX($E$1:E34)+1,0)</f>
        <v>0</v>
      </c>
      <c r="F35" s="1" t="str">
        <f ca="1">IFERROR(INDEX(TagData[],MATCH(ROWS(F$1:$G34),TagData[Search],0),4),"")</f>
        <v/>
      </c>
    </row>
    <row r="36" spans="1:6" x14ac:dyDescent="0.3">
      <c r="A36">
        <v>86</v>
      </c>
      <c r="B36" s="1" t="s">
        <v>40</v>
      </c>
      <c r="C36" s="1" t="s">
        <v>41</v>
      </c>
      <c r="D36" s="1" t="str">
        <f>+TagData[[#This Row],[TagName]]&amp;"_"&amp;TagData[[#This Row],[Description]]</f>
        <v>PIC36631_Pressure of PHO Absorber C36611 top</v>
      </c>
      <c r="E36" cm="1">
        <f t="array" aca="1" ref="E36" ca="1">IF(ISNUMBER(SEARCH(INDIRECT(CELL("address")),TagData[[#This Row],[Combined]])),MAX($E$1:E35)+1,0)</f>
        <v>0</v>
      </c>
      <c r="F36" s="1" t="str">
        <f ca="1">IFERROR(INDEX(TagData[],MATCH(ROWS(F$1:$G35),TagData[Search],0),4),"")</f>
        <v/>
      </c>
    </row>
    <row r="37" spans="1:6" x14ac:dyDescent="0.3">
      <c r="A37">
        <v>87</v>
      </c>
      <c r="B37" s="1" t="s">
        <v>38</v>
      </c>
      <c r="C37" s="1" t="s">
        <v>39</v>
      </c>
      <c r="D37" s="1" t="str">
        <f>+TagData[[#This Row],[TagName]]&amp;"_"&amp;TagData[[#This Row],[Description]]</f>
        <v>TIC36630_Temp of PHO Absorber C36611 bottom</v>
      </c>
      <c r="E37" cm="1">
        <f t="array" aca="1" ref="E37" ca="1">IF(ISNUMBER(SEARCH(INDIRECT(CELL("address")),TagData[[#This Row],[Combined]])),MAX($E$1:E36)+1,0)</f>
        <v>0</v>
      </c>
      <c r="F37" s="1" t="str">
        <f ca="1">IFERROR(INDEX(TagData[],MATCH(ROWS(F$1:$G36),TagData[Search],0),4),"")</f>
        <v/>
      </c>
    </row>
    <row r="38" spans="1:6" x14ac:dyDescent="0.3">
      <c r="A38">
        <v>91</v>
      </c>
      <c r="B38" s="1" t="s">
        <v>40</v>
      </c>
      <c r="C38" s="1" t="s">
        <v>42</v>
      </c>
      <c r="D38" s="1" t="str">
        <f>+TagData[[#This Row],[TagName]]&amp;"_"&amp;TagData[[#This Row],[Description]]</f>
        <v xml:space="preserve">PIC36631_ Pressure Control of C36611 top </v>
      </c>
      <c r="E38" cm="1">
        <f t="array" aca="1" ref="E38" ca="1">IF(ISNUMBER(SEARCH(INDIRECT(CELL("address")),TagData[[#This Row],[Combined]])),MAX($E$1:E37)+1,0)</f>
        <v>0</v>
      </c>
      <c r="F38" s="1" t="str">
        <f ca="1">IFERROR(INDEX(TagData[],MATCH(ROWS(F$1:$G37),TagData[Search],0),4),"")</f>
        <v/>
      </c>
    </row>
    <row r="39" spans="1:6" x14ac:dyDescent="0.3">
      <c r="A39">
        <v>92</v>
      </c>
      <c r="B39" s="1" t="s">
        <v>40</v>
      </c>
      <c r="C39" s="1" t="s">
        <v>41</v>
      </c>
      <c r="D39" s="1" t="str">
        <f>+TagData[[#This Row],[TagName]]&amp;"_"&amp;TagData[[#This Row],[Description]]</f>
        <v>PIC36631_Pressure of PHO Absorber C36611 top</v>
      </c>
      <c r="E39" cm="1">
        <f t="array" aca="1" ref="E39" ca="1">IF(ISNUMBER(SEARCH(INDIRECT(CELL("address")),TagData[[#This Row],[Combined]])),MAX($E$1:E38)+1,0)</f>
        <v>0</v>
      </c>
      <c r="F39" s="1" t="str">
        <f ca="1">IFERROR(INDEX(TagData[],MATCH(ROWS(F$1:$G38),TagData[Search],0),4),"")</f>
        <v/>
      </c>
    </row>
    <row r="40" spans="1:6" x14ac:dyDescent="0.3">
      <c r="A40">
        <v>96</v>
      </c>
      <c r="B40" s="1" t="s">
        <v>43</v>
      </c>
      <c r="C40" s="1" t="s">
        <v>44</v>
      </c>
      <c r="D40" s="1" t="str">
        <f>+TagData[[#This Row],[TagName]]&amp;"_"&amp;TagData[[#This Row],[Description]]</f>
        <v xml:space="preserve">PI36642_ Pressure of C36611 bottom </v>
      </c>
      <c r="E40" cm="1">
        <f t="array" aca="1" ref="E40" ca="1">IF(ISNUMBER(SEARCH(INDIRECT(CELL("address")),TagData[[#This Row],[Combined]])),MAX($E$1:E39)+1,0)</f>
        <v>0</v>
      </c>
      <c r="F40" s="1" t="str">
        <f ca="1">IFERROR(INDEX(TagData[],MATCH(ROWS(F$1:$G39),TagData[Search],0),4),"")</f>
        <v/>
      </c>
    </row>
    <row r="41" spans="1:6" x14ac:dyDescent="0.3">
      <c r="A41">
        <v>97</v>
      </c>
      <c r="B41" s="1" t="s">
        <v>40</v>
      </c>
      <c r="C41" s="1" t="s">
        <v>42</v>
      </c>
      <c r="D41" s="1" t="str">
        <f>+TagData[[#This Row],[TagName]]&amp;"_"&amp;TagData[[#This Row],[Description]]</f>
        <v xml:space="preserve">PIC36631_ Pressure Control of C36611 top </v>
      </c>
      <c r="E41" cm="1">
        <f t="array" aca="1" ref="E41" ca="1">IF(ISNUMBER(SEARCH(INDIRECT(CELL("address")),TagData[[#This Row],[Combined]])),MAX($E$1:E40)+1,0)</f>
        <v>0</v>
      </c>
      <c r="F41" s="1" t="str">
        <f ca="1">IFERROR(INDEX(TagData[],MATCH(ROWS(F$1:$G40),TagData[Search],0),4),"")</f>
        <v/>
      </c>
    </row>
    <row r="42" spans="1:6" x14ac:dyDescent="0.3">
      <c r="A42">
        <v>101</v>
      </c>
      <c r="B42" s="1" t="s">
        <v>45</v>
      </c>
      <c r="C42" s="1" t="s">
        <v>46</v>
      </c>
      <c r="D42" s="1" t="str">
        <f>+TagData[[#This Row],[TagName]]&amp;"_"&amp;TagData[[#This Row],[Description]]</f>
        <v>FI36668_Flow of HCLG from C36611 to E36616</v>
      </c>
      <c r="E42" cm="1">
        <f t="array" aca="1" ref="E42" ca="1">IF(ISNUMBER(SEARCH(INDIRECT(CELL("address")),TagData[[#This Row],[Combined]])),MAX($E$1:E41)+1,0)</f>
        <v>0</v>
      </c>
      <c r="F42" s="1" t="str">
        <f ca="1">IFERROR(INDEX(TagData[],MATCH(ROWS(F$1:$G41),TagData[Search],0),4),"")</f>
        <v/>
      </c>
    </row>
    <row r="43" spans="1:6" x14ac:dyDescent="0.3">
      <c r="A43">
        <v>102</v>
      </c>
      <c r="B43" s="1" t="s">
        <v>43</v>
      </c>
      <c r="C43" s="1" t="s">
        <v>44</v>
      </c>
      <c r="D43" s="1" t="str">
        <f>+TagData[[#This Row],[TagName]]&amp;"_"&amp;TagData[[#This Row],[Description]]</f>
        <v xml:space="preserve">PI36642_ Pressure of C36611 bottom </v>
      </c>
      <c r="E43" cm="1">
        <f t="array" aca="1" ref="E43" ca="1">IF(ISNUMBER(SEARCH(INDIRECT(CELL("address")),TagData[[#This Row],[Combined]])),MAX($E$1:E42)+1,0)</f>
        <v>0</v>
      </c>
      <c r="F43" s="1" t="str">
        <f ca="1">IFERROR(INDEX(TagData[],MATCH(ROWS(F$1:$G42),TagData[Search],0),4),"")</f>
        <v/>
      </c>
    </row>
    <row r="44" spans="1:6" x14ac:dyDescent="0.3">
      <c r="A44">
        <v>107</v>
      </c>
      <c r="B44" s="1" t="s">
        <v>45</v>
      </c>
      <c r="C44" s="1" t="s">
        <v>46</v>
      </c>
      <c r="D44" s="1" t="str">
        <f>+TagData[[#This Row],[TagName]]&amp;"_"&amp;TagData[[#This Row],[Description]]</f>
        <v>FI36668_Flow of HCLG from C36611 to E36616</v>
      </c>
      <c r="E44" cm="1">
        <f t="array" aca="1" ref="E44" ca="1">IF(ISNUMBER(SEARCH(INDIRECT(CELL("address")),TagData[[#This Row],[Combined]])),MAX($E$1:E43)+1,0)</f>
        <v>0</v>
      </c>
      <c r="F44" s="1" t="str">
        <f ca="1">IFERROR(INDEX(TagData[],MATCH(ROWS(F$1:$G43),TagData[Search],0),4),"")</f>
        <v/>
      </c>
    </row>
    <row r="45" spans="1:6" x14ac:dyDescent="0.3">
      <c r="A45">
        <v>106</v>
      </c>
      <c r="B45" s="1" t="s">
        <v>47</v>
      </c>
      <c r="C45" s="1" t="s">
        <v>48</v>
      </c>
      <c r="D45" s="1" t="str">
        <f>+TagData[[#This Row],[TagName]]&amp;"_"&amp;TagData[[#This Row],[Description]]</f>
        <v>TI36670_Temp of HCLG from C36611 to E36616</v>
      </c>
      <c r="E45" cm="1">
        <f t="array" aca="1" ref="E45" ca="1">IF(ISNUMBER(SEARCH(INDIRECT(CELL("address")),TagData[[#This Row],[Combined]])),MAX($E$1:E44)+1,0)</f>
        <v>0</v>
      </c>
      <c r="F45" s="1" t="str">
        <f ca="1">IFERROR(INDEX(TagData[],MATCH(ROWS(F$1:$G44),TagData[Search],0),4),"")</f>
        <v/>
      </c>
    </row>
    <row r="46" spans="1:6" x14ac:dyDescent="0.3">
      <c r="A46">
        <v>111</v>
      </c>
      <c r="B46" s="1" t="s">
        <v>49</v>
      </c>
      <c r="C46" s="1" t="s">
        <v>50</v>
      </c>
      <c r="D46" s="1" t="str">
        <f>+TagData[[#This Row],[TagName]]&amp;"_"&amp;TagData[[#This Row],[Description]]</f>
        <v>PDI36634_Pressure Difference ratio</v>
      </c>
      <c r="E46" cm="1">
        <f t="array" aca="1" ref="E46" ca="1">IF(ISNUMBER(SEARCH(INDIRECT(CELL("address")),TagData[[#This Row],[Combined]])),MAX($E$1:E45)+1,0)</f>
        <v>0</v>
      </c>
      <c r="F46" s="1" t="str">
        <f ca="1">IFERROR(INDEX(TagData[],MATCH(ROWS(F$1:$G45),TagData[Search],0),4),"")</f>
        <v/>
      </c>
    </row>
    <row r="47" spans="1:6" x14ac:dyDescent="0.3">
      <c r="A47">
        <v>112</v>
      </c>
      <c r="B47" s="1" t="s">
        <v>47</v>
      </c>
      <c r="C47" s="1" t="s">
        <v>48</v>
      </c>
      <c r="D47" s="1" t="str">
        <f>+TagData[[#This Row],[TagName]]&amp;"_"&amp;TagData[[#This Row],[Description]]</f>
        <v>TI36670_Temp of HCLG from C36611 to E36616</v>
      </c>
      <c r="E47" cm="1">
        <f t="array" aca="1" ref="E47" ca="1">IF(ISNUMBER(SEARCH(INDIRECT(CELL("address")),TagData[[#This Row],[Combined]])),MAX($E$1:E46)+1,0)</f>
        <v>0</v>
      </c>
      <c r="F47" s="1" t="str">
        <f ca="1">IFERROR(INDEX(TagData[],MATCH(ROWS(F$1:$G46),TagData[Search],0),4),"")</f>
        <v/>
      </c>
    </row>
    <row r="48" spans="1:6" x14ac:dyDescent="0.3">
      <c r="A48">
        <v>117</v>
      </c>
      <c r="B48" s="1" t="s">
        <v>49</v>
      </c>
      <c r="C48" s="1" t="s">
        <v>50</v>
      </c>
      <c r="D48" s="1" t="str">
        <f>+TagData[[#This Row],[TagName]]&amp;"_"&amp;TagData[[#This Row],[Description]]</f>
        <v>PDI36634_Pressure Difference ratio</v>
      </c>
      <c r="E48" cm="1">
        <f t="array" aca="1" ref="E48" ca="1">IF(ISNUMBER(SEARCH(INDIRECT(CELL("address")),TagData[[#This Row],[Combined]])),MAX($E$1:E47)+1,0)</f>
        <v>0</v>
      </c>
      <c r="F48" s="1" t="str">
        <f ca="1">IFERROR(INDEX(TagData[],MATCH(ROWS(F$1:$G47),TagData[Search],0),4),"")</f>
        <v/>
      </c>
    </row>
    <row r="49" spans="1:6" x14ac:dyDescent="0.3">
      <c r="A49">
        <v>116</v>
      </c>
      <c r="B49" s="1" t="s">
        <v>51</v>
      </c>
      <c r="C49" s="1" t="s">
        <v>52</v>
      </c>
      <c r="D49" s="1" t="str">
        <f>+TagData[[#This Row],[TagName]]&amp;"_"&amp;TagData[[#This Row],[Description]]</f>
        <v xml:space="preserve">TI36629_ Temp of 19th Tray C36611  </v>
      </c>
      <c r="E49" cm="1">
        <f t="array" aca="1" ref="E49" ca="1">IF(ISNUMBER(SEARCH(INDIRECT(CELL("address")),TagData[[#This Row],[Combined]])),MAX($E$1:E48)+1,0)</f>
        <v>0</v>
      </c>
      <c r="F49" s="1" t="str">
        <f ca="1">IFERROR(INDEX(TagData[],MATCH(ROWS(F$1:$G48),TagData[Search],0),4),"")</f>
        <v/>
      </c>
    </row>
    <row r="50" spans="1:6" x14ac:dyDescent="0.3">
      <c r="A50">
        <v>121</v>
      </c>
      <c r="B50" s="1" t="s">
        <v>7</v>
      </c>
      <c r="C50" s="1" t="s">
        <v>53</v>
      </c>
      <c r="D50" s="1" t="str">
        <f>+TagData[[#This Row],[TagName]]&amp;"_"&amp;TagData[[#This Row],[Description]]</f>
        <v>FIC36612_ Flow of ODCB from E36610 to C36611</v>
      </c>
      <c r="E50" cm="1">
        <f t="array" aca="1" ref="E50" ca="1">IF(ISNUMBER(SEARCH(INDIRECT(CELL("address")),TagData[[#This Row],[Combined]])),MAX($E$1:E49)+1,0)</f>
        <v>0</v>
      </c>
      <c r="F50" s="1" t="str">
        <f ca="1">IFERROR(INDEX(TagData[],MATCH(ROWS(F$1:$G49),TagData[Search],0),4),"")</f>
        <v/>
      </c>
    </row>
    <row r="51" spans="1:6" x14ac:dyDescent="0.3">
      <c r="A51">
        <v>122</v>
      </c>
      <c r="B51" s="1" t="s">
        <v>51</v>
      </c>
      <c r="C51" s="1" t="s">
        <v>52</v>
      </c>
      <c r="D51" s="1" t="str">
        <f>+TagData[[#This Row],[TagName]]&amp;"_"&amp;TagData[[#This Row],[Description]]</f>
        <v xml:space="preserve">TI36629_ Temp of 19th Tray C36611  </v>
      </c>
      <c r="E51" cm="1">
        <f t="array" aca="1" ref="E51" ca="1">IF(ISNUMBER(SEARCH(INDIRECT(CELL("address")),TagData[[#This Row],[Combined]])),MAX($E$1:E50)+1,0)</f>
        <v>0</v>
      </c>
      <c r="F51" s="1" t="str">
        <f ca="1">IFERROR(INDEX(TagData[],MATCH(ROWS(F$1:$G50),TagData[Search],0),4),"")</f>
        <v/>
      </c>
    </row>
    <row r="52" spans="1:6" x14ac:dyDescent="0.3">
      <c r="A52">
        <v>127</v>
      </c>
      <c r="B52" s="1" t="s">
        <v>7</v>
      </c>
      <c r="C52" s="1" t="s">
        <v>53</v>
      </c>
      <c r="D52" s="1" t="str">
        <f>+TagData[[#This Row],[TagName]]&amp;"_"&amp;TagData[[#This Row],[Description]]</f>
        <v>FIC36612_ Flow of ODCB from E36610 to C36611</v>
      </c>
      <c r="E52" cm="1">
        <f t="array" aca="1" ref="E52" ca="1">IF(ISNUMBER(SEARCH(INDIRECT(CELL("address")),TagData[[#This Row],[Combined]])),MAX($E$1:E51)+1,0)</f>
        <v>0</v>
      </c>
      <c r="F52" s="1" t="str">
        <f ca="1">IFERROR(INDEX(TagData[],MATCH(ROWS(F$1:$G51),TagData[Search],0),4),"")</f>
        <v/>
      </c>
    </row>
    <row r="53" spans="1:6" x14ac:dyDescent="0.3">
      <c r="A53">
        <v>126</v>
      </c>
      <c r="B53" s="1" t="s">
        <v>9</v>
      </c>
      <c r="C53" s="1" t="s">
        <v>54</v>
      </c>
      <c r="D53" s="1" t="str">
        <f>+TagData[[#This Row],[TagName]]&amp;"_"&amp;TagData[[#This Row],[Description]]</f>
        <v xml:space="preserve">TIC36611_ Temp ODCB from E36610 to C36119 </v>
      </c>
      <c r="E53" cm="1">
        <f t="array" aca="1" ref="E53" ca="1">IF(ISNUMBER(SEARCH(INDIRECT(CELL("address")),TagData[[#This Row],[Combined]])),MAX($E$1:E52)+1,0)</f>
        <v>0</v>
      </c>
      <c r="F53" s="1" t="str">
        <f ca="1">IFERROR(INDEX(TagData[],MATCH(ROWS(F$1:$G52),TagData[Search],0),4),"")</f>
        <v/>
      </c>
    </row>
    <row r="54" spans="1:6" x14ac:dyDescent="0.3">
      <c r="A54">
        <v>131</v>
      </c>
      <c r="B54" s="1" t="s">
        <v>55</v>
      </c>
      <c r="C54" s="1" t="s">
        <v>56</v>
      </c>
      <c r="D54" s="1" t="str">
        <f>+TagData[[#This Row],[TagName]]&amp;"_"&amp;TagData[[#This Row],[Description]]</f>
        <v xml:space="preserve">LIC36641_ Level control C36611  </v>
      </c>
      <c r="E54" cm="1">
        <f t="array" aca="1" ref="E54" ca="1">IF(ISNUMBER(SEARCH(INDIRECT(CELL("address")),TagData[[#This Row],[Combined]])),MAX($E$1:E53)+1,0)</f>
        <v>0</v>
      </c>
      <c r="F54" s="1" t="str">
        <f ca="1">IFERROR(INDEX(TagData[],MATCH(ROWS(F$1:$G53),TagData[Search],0),4),"")</f>
        <v/>
      </c>
    </row>
    <row r="55" spans="1:6" x14ac:dyDescent="0.3">
      <c r="A55">
        <v>132</v>
      </c>
      <c r="B55" s="1" t="s">
        <v>9</v>
      </c>
      <c r="C55" s="1" t="s">
        <v>54</v>
      </c>
      <c r="D55" s="1" t="str">
        <f>+TagData[[#This Row],[TagName]]&amp;"_"&amp;TagData[[#This Row],[Description]]</f>
        <v xml:space="preserve">TIC36611_ Temp ODCB from E36610 to C36119 </v>
      </c>
      <c r="E55" cm="1">
        <f t="array" aca="1" ref="E55" ca="1">IF(ISNUMBER(SEARCH(INDIRECT(CELL("address")),TagData[[#This Row],[Combined]])),MAX($E$1:E54)+1,0)</f>
        <v>0</v>
      </c>
      <c r="F55" s="1" t="str">
        <f ca="1">IFERROR(INDEX(TagData[],MATCH(ROWS(F$1:$G54),TagData[Search],0),4),"")</f>
        <v/>
      </c>
    </row>
    <row r="56" spans="1:6" x14ac:dyDescent="0.3">
      <c r="A56">
        <v>137</v>
      </c>
      <c r="B56" s="1" t="s">
        <v>55</v>
      </c>
      <c r="C56" s="1" t="s">
        <v>56</v>
      </c>
      <c r="D56" s="1" t="str">
        <f>+TagData[[#This Row],[TagName]]&amp;"_"&amp;TagData[[#This Row],[Description]]</f>
        <v xml:space="preserve">LIC36641_ Level control C36611  </v>
      </c>
      <c r="E56" cm="1">
        <f t="array" aca="1" ref="E56" ca="1">IF(ISNUMBER(SEARCH(INDIRECT(CELL("address")),TagData[[#This Row],[Combined]])),MAX($E$1:E55)+1,0)</f>
        <v>0</v>
      </c>
      <c r="F56" s="1" t="str">
        <f ca="1">IFERROR(INDEX(TagData[],MATCH(ROWS(F$1:$G55),TagData[Search],0),4),"")</f>
        <v/>
      </c>
    </row>
    <row r="57" spans="1:6" x14ac:dyDescent="0.3">
      <c r="A57">
        <v>136</v>
      </c>
      <c r="B57" s="1" t="s">
        <v>57</v>
      </c>
      <c r="C57" s="1" t="s">
        <v>58</v>
      </c>
      <c r="D57" s="1" t="str">
        <f>+TagData[[#This Row],[TagName]]&amp;"_"&amp;TagData[[#This Row],[Description]]</f>
        <v>PI36628_Pr Rupt Disc C36611 Top PSE-36601</v>
      </c>
      <c r="E57" cm="1">
        <f t="array" aca="1" ref="E57" ca="1">IF(ISNUMBER(SEARCH(INDIRECT(CELL("address")),TagData[[#This Row],[Combined]])),MAX($E$1:E56)+1,0)</f>
        <v>0</v>
      </c>
      <c r="F57" s="1" t="str">
        <f ca="1">IFERROR(INDEX(TagData[],MATCH(ROWS(F$1:$G56),TagData[Search],0),4),"")</f>
        <v/>
      </c>
    </row>
    <row r="58" spans="1:6" x14ac:dyDescent="0.3">
      <c r="A58">
        <v>142</v>
      </c>
      <c r="B58" s="1" t="s">
        <v>57</v>
      </c>
      <c r="C58" s="1" t="s">
        <v>58</v>
      </c>
      <c r="D58" s="1" t="str">
        <f>+TagData[[#This Row],[TagName]]&amp;"_"&amp;TagData[[#This Row],[Description]]</f>
        <v>PI36628_Pr Rupt Disc C36611 Top PSE-36601</v>
      </c>
      <c r="E58" cm="1">
        <f t="array" aca="1" ref="E58" ca="1">IF(ISNUMBER(SEARCH(INDIRECT(CELL("address")),TagData[[#This Row],[Combined]])),MAX($E$1:E57)+1,0)</f>
        <v>0</v>
      </c>
      <c r="F58" s="1" t="str">
        <f ca="1">IFERROR(INDEX(TagData[],MATCH(ROWS(F$1:$G57),TagData[Search],0),4),"")</f>
        <v/>
      </c>
    </row>
    <row r="59" spans="1:6" x14ac:dyDescent="0.3">
      <c r="A59">
        <v>141</v>
      </c>
      <c r="B59" s="1" t="s">
        <v>59</v>
      </c>
      <c r="C59" s="1" t="s">
        <v>60</v>
      </c>
      <c r="D59" s="1" t="str">
        <f>+TagData[[#This Row],[TagName]]&amp;"_"&amp;TagData[[#This Row],[Description]]</f>
        <v>TI36659_Temp WCHR from Intr cooler E36618</v>
      </c>
      <c r="E59" cm="1">
        <f t="array" aca="1" ref="E59" ca="1">IF(ISNUMBER(SEARCH(INDIRECT(CELL("address")),TagData[[#This Row],[Combined]])),MAX($E$1:E58)+1,0)</f>
        <v>0</v>
      </c>
      <c r="F59" s="1" t="str">
        <f ca="1">IFERROR(INDEX(TagData[],MATCH(ROWS(F$1:$G58),TagData[Search],0),4),"")</f>
        <v/>
      </c>
    </row>
    <row r="60" spans="1:6" x14ac:dyDescent="0.3">
      <c r="A60">
        <v>147</v>
      </c>
      <c r="B60" s="1" t="s">
        <v>59</v>
      </c>
      <c r="C60" s="1" t="s">
        <v>60</v>
      </c>
      <c r="D60" s="1" t="str">
        <f>+TagData[[#This Row],[TagName]]&amp;"_"&amp;TagData[[#This Row],[Description]]</f>
        <v>TI36659_Temp WCHR from Intr cooler E36618</v>
      </c>
      <c r="E60" cm="1">
        <f t="array" aca="1" ref="E60" ca="1">IF(ISNUMBER(SEARCH(INDIRECT(CELL("address")),TagData[[#This Row],[Combined]])),MAX($E$1:E59)+1,0)</f>
        <v>0</v>
      </c>
      <c r="F60" s="1" t="str">
        <f ca="1">IFERROR(INDEX(TagData[],MATCH(ROWS(F$1:$G59),TagData[Search],0),4),"")</f>
        <v/>
      </c>
    </row>
    <row r="61" spans="1:6" x14ac:dyDescent="0.3">
      <c r="A61">
        <v>146</v>
      </c>
      <c r="B61" s="1" t="s">
        <v>2</v>
      </c>
      <c r="C61" s="1" t="s">
        <v>61</v>
      </c>
      <c r="D61" s="1" t="str">
        <f>+TagData[[#This Row],[TagName]]&amp;"_"&amp;TagData[[#This Row],[Description]]</f>
        <v>TIC36620_Temp Control from E36618 to C36611</v>
      </c>
      <c r="E61" cm="1">
        <f t="array" aca="1" ref="E61" ca="1">IF(ISNUMBER(SEARCH(INDIRECT(CELL("address")),TagData[[#This Row],[Combined]])),MAX($E$1:E60)+1,0)</f>
        <v>0</v>
      </c>
      <c r="F61" s="1" t="str">
        <f ca="1">IFERROR(INDEX(TagData[],MATCH(ROWS(F$1:$G60),TagData[Search],0),4),"")</f>
        <v/>
      </c>
    </row>
    <row r="62" spans="1:6" x14ac:dyDescent="0.3">
      <c r="A62">
        <v>152</v>
      </c>
      <c r="B62" s="1" t="s">
        <v>2</v>
      </c>
      <c r="C62" s="1" t="s">
        <v>61</v>
      </c>
      <c r="D62" s="1" t="str">
        <f>+TagData[[#This Row],[TagName]]&amp;"_"&amp;TagData[[#This Row],[Description]]</f>
        <v>TIC36620_Temp Control from E36618 to C36611</v>
      </c>
      <c r="E62" cm="1">
        <f t="array" aca="1" ref="E62" ca="1">IF(ISNUMBER(SEARCH(INDIRECT(CELL("address")),TagData[[#This Row],[Combined]])),MAX($E$1:E61)+1,0)</f>
        <v>0</v>
      </c>
      <c r="F62" s="1" t="str">
        <f ca="1">IFERROR(INDEX(TagData[],MATCH(ROWS(F$1:$G61),TagData[Search],0),4),"")</f>
        <v/>
      </c>
    </row>
    <row r="63" spans="1:6" x14ac:dyDescent="0.3">
      <c r="A63">
        <v>151</v>
      </c>
      <c r="B63" s="1" t="s">
        <v>38</v>
      </c>
      <c r="C63" s="1" t="s">
        <v>62</v>
      </c>
      <c r="D63" s="1" t="str">
        <f>+TagData[[#This Row],[TagName]]&amp;"_"&amp;TagData[[#This Row],[Description]]</f>
        <v>TIC36630_Temp Control of C36611 bottom</v>
      </c>
      <c r="E63" cm="1">
        <f t="array" aca="1" ref="E63" ca="1">IF(ISNUMBER(SEARCH(INDIRECT(CELL("address")),TagData[[#This Row],[Combined]])),MAX($E$1:E62)+1,0)</f>
        <v>0</v>
      </c>
      <c r="F63" s="1" t="str">
        <f ca="1">IFERROR(INDEX(TagData[],MATCH(ROWS(F$1:$G62),TagData[Search],0),4),"")</f>
        <v/>
      </c>
    </row>
    <row r="64" spans="1:6" x14ac:dyDescent="0.3">
      <c r="A64">
        <v>156</v>
      </c>
      <c r="B64" s="1" t="s">
        <v>63</v>
      </c>
      <c r="C64" s="1" t="s">
        <v>64</v>
      </c>
      <c r="D64" s="1" t="str">
        <f>+TagData[[#This Row],[TagName]]&amp;"_"&amp;TagData[[#This Row],[Description]]</f>
        <v xml:space="preserve">TI36637_ Temp of 7th Tray C36611  </v>
      </c>
      <c r="E64" cm="1">
        <f t="array" aca="1" ref="E64" ca="1">IF(ISNUMBER(SEARCH(INDIRECT(CELL("address")),TagData[[#This Row],[Combined]])),MAX($E$1:E63)+1,0)</f>
        <v>0</v>
      </c>
      <c r="F64" s="1" t="str">
        <f ca="1">IFERROR(INDEX(TagData[],MATCH(ROWS(F$1:$G63),TagData[Search],0),4),"")</f>
        <v/>
      </c>
    </row>
    <row r="65" spans="1:6" x14ac:dyDescent="0.3">
      <c r="A65">
        <v>157</v>
      </c>
      <c r="B65" s="1" t="s">
        <v>38</v>
      </c>
      <c r="C65" s="1" t="s">
        <v>62</v>
      </c>
      <c r="D65" s="1" t="str">
        <f>+TagData[[#This Row],[TagName]]&amp;"_"&amp;TagData[[#This Row],[Description]]</f>
        <v>TIC36630_Temp Control of C36611 bottom</v>
      </c>
      <c r="E65" cm="1">
        <f t="array" aca="1" ref="E65" ca="1">IF(ISNUMBER(SEARCH(INDIRECT(CELL("address")),TagData[[#This Row],[Combined]])),MAX($E$1:E64)+1,0)</f>
        <v>0</v>
      </c>
      <c r="F65" s="1" t="str">
        <f ca="1">IFERROR(INDEX(TagData[],MATCH(ROWS(F$1:$G64),TagData[Search],0),4),"")</f>
        <v/>
      </c>
    </row>
    <row r="66" spans="1:6" x14ac:dyDescent="0.3">
      <c r="A66">
        <v>162</v>
      </c>
      <c r="B66" s="1" t="s">
        <v>63</v>
      </c>
      <c r="C66" s="1" t="s">
        <v>64</v>
      </c>
      <c r="D66" s="1" t="str">
        <f>+TagData[[#This Row],[TagName]]&amp;"_"&amp;TagData[[#This Row],[Description]]</f>
        <v xml:space="preserve">TI36637_ Temp of 7th Tray C36611  </v>
      </c>
      <c r="E66" cm="1">
        <f t="array" aca="1" ref="E66" ca="1">IF(ISNUMBER(SEARCH(INDIRECT(CELL("address")),TagData[[#This Row],[Combined]])),MAX($E$1:E65)+1,0)</f>
        <v>0</v>
      </c>
      <c r="F66" s="1" t="str">
        <f ca="1">IFERROR(INDEX(TagData[],MATCH(ROWS(F$1:$G65),TagData[Search],0),4),"")</f>
        <v/>
      </c>
    </row>
    <row r="67" spans="1:6" x14ac:dyDescent="0.3">
      <c r="A67">
        <v>161</v>
      </c>
      <c r="B67" s="1" t="s">
        <v>65</v>
      </c>
      <c r="C67" s="1" t="s">
        <v>66</v>
      </c>
      <c r="D67" s="1" t="str">
        <f>+TagData[[#This Row],[TagName]]&amp;"_"&amp;TagData[[#This Row],[Description]]</f>
        <v xml:space="preserve">TI36638_ Temp of 3rd Tray C36611  </v>
      </c>
      <c r="E67" cm="1">
        <f t="array" aca="1" ref="E67" ca="1">IF(ISNUMBER(SEARCH(INDIRECT(CELL("address")),TagData[[#This Row],[Combined]])),MAX($E$1:E66)+1,0)</f>
        <v>0</v>
      </c>
      <c r="F67" s="1" t="str">
        <f ca="1">IFERROR(INDEX(TagData[],MATCH(ROWS(F$1:$G66),TagData[Search],0),4),"")</f>
        <v/>
      </c>
    </row>
    <row r="68" spans="1:6" x14ac:dyDescent="0.3">
      <c r="A68">
        <v>166</v>
      </c>
      <c r="B68" s="1" t="s">
        <v>67</v>
      </c>
      <c r="C68" s="1" t="s">
        <v>68</v>
      </c>
      <c r="D68" s="1" t="str">
        <f>+TagData[[#This Row],[TagName]]&amp;"_"&amp;TagData[[#This Row],[Description]]</f>
        <v>TI36632_ Temp of PHO Absorber C36611 top</v>
      </c>
      <c r="E68" cm="1">
        <f t="array" aca="1" ref="E68" ca="1">IF(ISNUMBER(SEARCH(INDIRECT(CELL("address")),TagData[[#This Row],[Combined]])),MAX($E$1:E67)+1,0)</f>
        <v>0</v>
      </c>
      <c r="F68" s="1" t="str">
        <f ca="1">IFERROR(INDEX(TagData[],MATCH(ROWS(F$1:$G67),TagData[Search],0),4),"")</f>
        <v/>
      </c>
    </row>
    <row r="69" spans="1:6" x14ac:dyDescent="0.3">
      <c r="A69">
        <v>167</v>
      </c>
      <c r="B69" s="1" t="s">
        <v>65</v>
      </c>
      <c r="C69" s="1" t="s">
        <v>66</v>
      </c>
      <c r="D69" s="1" t="str">
        <f>+TagData[[#This Row],[TagName]]&amp;"_"&amp;TagData[[#This Row],[Description]]</f>
        <v xml:space="preserve">TI36638_ Temp of 3rd Tray C36611  </v>
      </c>
      <c r="E69" cm="1">
        <f t="array" aca="1" ref="E69" ca="1">IF(ISNUMBER(SEARCH(INDIRECT(CELL("address")),TagData[[#This Row],[Combined]])),MAX($E$1:E68)+1,0)</f>
        <v>0</v>
      </c>
      <c r="F69" s="1" t="str">
        <f ca="1">IFERROR(INDEX(TagData[],MATCH(ROWS(F$1:$G68),TagData[Search],0),4),"")</f>
        <v/>
      </c>
    </row>
    <row r="70" spans="1:6" x14ac:dyDescent="0.3">
      <c r="A70">
        <v>172</v>
      </c>
      <c r="B70" s="1" t="s">
        <v>67</v>
      </c>
      <c r="C70" s="1" t="s">
        <v>68</v>
      </c>
      <c r="D70" s="1" t="str">
        <f>+TagData[[#This Row],[TagName]]&amp;"_"&amp;TagData[[#This Row],[Description]]</f>
        <v>TI36632_ Temp of PHO Absorber C36611 top</v>
      </c>
      <c r="E70" cm="1">
        <f t="array" aca="1" ref="E70" ca="1">IF(ISNUMBER(SEARCH(INDIRECT(CELL("address")),TagData[[#This Row],[Combined]])),MAX($E$1:E69)+1,0)</f>
        <v>0</v>
      </c>
      <c r="F70" s="1" t="str">
        <f ca="1">IFERROR(INDEX(TagData[],MATCH(ROWS(F$1:$G69),TagData[Search],0),4),"")</f>
        <v/>
      </c>
    </row>
    <row r="71" spans="1:6" x14ac:dyDescent="0.3">
      <c r="A71">
        <v>171</v>
      </c>
      <c r="B71" s="1" t="s">
        <v>69</v>
      </c>
      <c r="C71" s="1" t="s">
        <v>70</v>
      </c>
      <c r="D71" s="1" t="str">
        <f>+TagData[[#This Row],[TagName]]&amp;"_"&amp;TagData[[#This Row],[Description]]</f>
        <v xml:space="preserve">TI36633_ Temp of 33rd Tray C36611  </v>
      </c>
      <c r="E71" cm="1">
        <f t="array" aca="1" ref="E71" ca="1">IF(ISNUMBER(SEARCH(INDIRECT(CELL("address")),TagData[[#This Row],[Combined]])),MAX($E$1:E70)+1,0)</f>
        <v>0</v>
      </c>
      <c r="F71" s="1" t="str">
        <f ca="1">IFERROR(INDEX(TagData[],MATCH(ROWS(F$1:$G70),TagData[Search],0),4),"")</f>
        <v/>
      </c>
    </row>
    <row r="72" spans="1:6" x14ac:dyDescent="0.3">
      <c r="A72">
        <v>177</v>
      </c>
      <c r="B72" s="1" t="s">
        <v>69</v>
      </c>
      <c r="C72" s="1" t="s">
        <v>70</v>
      </c>
      <c r="D72" s="1" t="str">
        <f>+TagData[[#This Row],[TagName]]&amp;"_"&amp;TagData[[#This Row],[Description]]</f>
        <v xml:space="preserve">TI36633_ Temp of 33rd Tray C36611  </v>
      </c>
      <c r="E72" cm="1">
        <f t="array" aca="1" ref="E72" ca="1">IF(ISNUMBER(SEARCH(INDIRECT(CELL("address")),TagData[[#This Row],[Combined]])),MAX($E$1:E71)+1,0)</f>
        <v>0</v>
      </c>
      <c r="F72" s="1" t="str">
        <f ca="1">IFERROR(INDEX(TagData[],MATCH(ROWS(F$1:$G71),TagData[Search],0),4),"")</f>
        <v/>
      </c>
    </row>
    <row r="73" spans="1:6" x14ac:dyDescent="0.3">
      <c r="A73">
        <v>176</v>
      </c>
      <c r="B73" s="1" t="s">
        <v>71</v>
      </c>
      <c r="C73" s="1" t="s">
        <v>72</v>
      </c>
      <c r="D73" s="1" t="str">
        <f>+TagData[[#This Row],[TagName]]&amp;"_"&amp;TagData[[#This Row],[Description]]</f>
        <v xml:space="preserve">TI36635_ Temp of 26th Tray C36611  </v>
      </c>
      <c r="E73" cm="1">
        <f t="array" aca="1" ref="E73" ca="1">IF(ISNUMBER(SEARCH(INDIRECT(CELL("address")),TagData[[#This Row],[Combined]])),MAX($E$1:E72)+1,0)</f>
        <v>0</v>
      </c>
      <c r="F73" s="1" t="str">
        <f ca="1">IFERROR(INDEX(TagData[],MATCH(ROWS(F$1:$G72),TagData[Search],0),4),"")</f>
        <v/>
      </c>
    </row>
    <row r="74" spans="1:6" x14ac:dyDescent="0.3">
      <c r="A74">
        <v>182</v>
      </c>
      <c r="B74" s="1" t="s">
        <v>71</v>
      </c>
      <c r="C74" s="1" t="s">
        <v>72</v>
      </c>
      <c r="D74" s="1" t="str">
        <f>+TagData[[#This Row],[TagName]]&amp;"_"&amp;TagData[[#This Row],[Description]]</f>
        <v xml:space="preserve">TI36635_ Temp of 26th Tray C36611  </v>
      </c>
      <c r="E74" cm="1">
        <f t="array" aca="1" ref="E74" ca="1">IF(ISNUMBER(SEARCH(INDIRECT(CELL("address")),TagData[[#This Row],[Combined]])),MAX($E$1:E73)+1,0)</f>
        <v>0</v>
      </c>
      <c r="F74" s="1" t="str">
        <f ca="1">IFERROR(INDEX(TagData[],MATCH(ROWS(F$1:$G73),TagData[Search],0),4),"")</f>
        <v/>
      </c>
    </row>
    <row r="75" spans="1:6" x14ac:dyDescent="0.3">
      <c r="A75">
        <v>181</v>
      </c>
      <c r="B75" s="1" t="s">
        <v>73</v>
      </c>
      <c r="C75" s="1" t="s">
        <v>74</v>
      </c>
      <c r="D75" s="1" t="str">
        <f>+TagData[[#This Row],[TagName]]&amp;"_"&amp;TagData[[#This Row],[Description]]</f>
        <v xml:space="preserve">TIC36674_ Temp of E36616 O/L to S36617 </v>
      </c>
      <c r="E75" cm="1">
        <f t="array" aca="1" ref="E75" ca="1">IF(ISNUMBER(SEARCH(INDIRECT(CELL("address")),TagData[[#This Row],[Combined]])),MAX($E$1:E74)+1,0)</f>
        <v>0</v>
      </c>
      <c r="F75" s="1" t="str">
        <f ca="1">IFERROR(INDEX(TagData[],MATCH(ROWS(F$1:$G74),TagData[Search],0),4),"")</f>
        <v/>
      </c>
    </row>
    <row r="76" spans="1:6" x14ac:dyDescent="0.3">
      <c r="A76">
        <v>186</v>
      </c>
      <c r="B76" s="1" t="s">
        <v>73</v>
      </c>
      <c r="C76" s="1" t="s">
        <v>75</v>
      </c>
      <c r="D76" s="1" t="str">
        <f>+TagData[[#This Row],[TagName]]&amp;"_"&amp;TagData[[#This Row],[Description]]</f>
        <v xml:space="preserve">TIC36674_ Temp Control E36616 O/L to S36617 </v>
      </c>
      <c r="E76" cm="1">
        <f t="array" aca="1" ref="E76" ca="1">IF(ISNUMBER(SEARCH(INDIRECT(CELL("address")),TagData[[#This Row],[Combined]])),MAX($E$1:E75)+1,0)</f>
        <v>0</v>
      </c>
      <c r="F76" s="1" t="str">
        <f ca="1">IFERROR(INDEX(TagData[],MATCH(ROWS(F$1:$G75),TagData[Search],0),4),"")</f>
        <v/>
      </c>
    </row>
    <row r="77" spans="1:6" x14ac:dyDescent="0.3">
      <c r="A77">
        <v>187</v>
      </c>
      <c r="B77" s="1" t="s">
        <v>73</v>
      </c>
      <c r="C77" s="1" t="s">
        <v>74</v>
      </c>
      <c r="D77" s="1" t="str">
        <f>+TagData[[#This Row],[TagName]]&amp;"_"&amp;TagData[[#This Row],[Description]]</f>
        <v xml:space="preserve">TIC36674_ Temp of E36616 O/L to S36617 </v>
      </c>
      <c r="E77" cm="1">
        <f t="array" aca="1" ref="E77" ca="1">IF(ISNUMBER(SEARCH(INDIRECT(CELL("address")),TagData[[#This Row],[Combined]])),MAX($E$1:E76)+1,0)</f>
        <v>0</v>
      </c>
      <c r="F77" s="1" t="str">
        <f ca="1">IFERROR(INDEX(TagData[],MATCH(ROWS(F$1:$G76),TagData[Search],0),4),"")</f>
        <v/>
      </c>
    </row>
    <row r="78" spans="1:6" x14ac:dyDescent="0.3">
      <c r="A78">
        <v>191</v>
      </c>
      <c r="B78" s="1" t="s">
        <v>76</v>
      </c>
      <c r="C78" s="1" t="s">
        <v>77</v>
      </c>
      <c r="D78" s="1" t="str">
        <f>+TagData[[#This Row],[TagName]]&amp;"_"&amp;TagData[[#This Row],[Description]]</f>
        <v xml:space="preserve">LIC36685A_ Level of TDI Catch Tank T36622 </v>
      </c>
      <c r="E78" cm="1">
        <f t="array" aca="1" ref="E78" ca="1">IF(ISNUMBER(SEARCH(INDIRECT(CELL("address")),TagData[[#This Row],[Combined]])),MAX($E$1:E77)+1,0)</f>
        <v>0</v>
      </c>
      <c r="F78" s="1" t="str">
        <f ca="1">IFERROR(INDEX(TagData[],MATCH(ROWS(F$1:$G77),TagData[Search],0),4),"")</f>
        <v/>
      </c>
    </row>
    <row r="79" spans="1:6" x14ac:dyDescent="0.3">
      <c r="A79">
        <v>192</v>
      </c>
      <c r="B79" s="1" t="s">
        <v>73</v>
      </c>
      <c r="C79" s="1" t="s">
        <v>75</v>
      </c>
      <c r="D79" s="1" t="str">
        <f>+TagData[[#This Row],[TagName]]&amp;"_"&amp;TagData[[#This Row],[Description]]</f>
        <v xml:space="preserve">TIC36674_ Temp Control E36616 O/L to S36617 </v>
      </c>
      <c r="E79" cm="1">
        <f t="array" aca="1" ref="E79" ca="1">IF(ISNUMBER(SEARCH(INDIRECT(CELL("address")),TagData[[#This Row],[Combined]])),MAX($E$1:E78)+1,0)</f>
        <v>0</v>
      </c>
      <c r="F79" s="1" t="str">
        <f ca="1">IFERROR(INDEX(TagData[],MATCH(ROWS(F$1:$G78),TagData[Search],0),4),"")</f>
        <v/>
      </c>
    </row>
    <row r="80" spans="1:6" x14ac:dyDescent="0.3">
      <c r="A80">
        <v>196</v>
      </c>
      <c r="B80" s="1" t="s">
        <v>78</v>
      </c>
      <c r="C80" s="1" t="s">
        <v>79</v>
      </c>
      <c r="D80" s="1" t="str">
        <f>+TagData[[#This Row],[TagName]]&amp;"_"&amp;TagData[[#This Row],[Description]]</f>
        <v xml:space="preserve">FI36688_ Flow of P36624 to S36101 </v>
      </c>
      <c r="E80" cm="1">
        <f t="array" aca="1" ref="E80" ca="1">IF(ISNUMBER(SEARCH(INDIRECT(CELL("address")),TagData[[#This Row],[Combined]])),MAX($E$1:E79)+1,0)</f>
        <v>0</v>
      </c>
      <c r="F80" s="1" t="str">
        <f ca="1">IFERROR(INDEX(TagData[],MATCH(ROWS(F$1:$G79),TagData[Search],0),4),"")</f>
        <v/>
      </c>
    </row>
    <row r="81" spans="1:6" x14ac:dyDescent="0.3">
      <c r="A81">
        <v>197</v>
      </c>
      <c r="B81" s="1" t="s">
        <v>76</v>
      </c>
      <c r="C81" s="1" t="s">
        <v>77</v>
      </c>
      <c r="D81" s="1" t="str">
        <f>+TagData[[#This Row],[TagName]]&amp;"_"&amp;TagData[[#This Row],[Description]]</f>
        <v xml:space="preserve">LIC36685A_ Level of TDI Catch Tank T36622 </v>
      </c>
      <c r="E81" cm="1">
        <f t="array" aca="1" ref="E81" ca="1">IF(ISNUMBER(SEARCH(INDIRECT(CELL("address")),TagData[[#This Row],[Combined]])),MAX($E$1:E80)+1,0)</f>
        <v>0</v>
      </c>
      <c r="F81" s="1" t="str">
        <f ca="1">IFERROR(INDEX(TagData[],MATCH(ROWS(F$1:$G80),TagData[Search],0),4),"")</f>
        <v/>
      </c>
    </row>
    <row r="82" spans="1:6" x14ac:dyDescent="0.3">
      <c r="A82">
        <v>202</v>
      </c>
      <c r="B82" s="1" t="s">
        <v>78</v>
      </c>
      <c r="C82" s="1" t="s">
        <v>79</v>
      </c>
      <c r="D82" s="1" t="str">
        <f>+TagData[[#This Row],[TagName]]&amp;"_"&amp;TagData[[#This Row],[Description]]</f>
        <v xml:space="preserve">FI36688_ Flow of P36624 to S36101 </v>
      </c>
      <c r="E82" cm="1">
        <f t="array" aca="1" ref="E82" ca="1">IF(ISNUMBER(SEARCH(INDIRECT(CELL("address")),TagData[[#This Row],[Combined]])),MAX($E$1:E81)+1,0)</f>
        <v>0</v>
      </c>
      <c r="F82" s="1" t="str">
        <f ca="1">IFERROR(INDEX(TagData[],MATCH(ROWS(F$1:$G81),TagData[Search],0),4),"")</f>
        <v/>
      </c>
    </row>
    <row r="83" spans="1:6" x14ac:dyDescent="0.3">
      <c r="A83">
        <v>201</v>
      </c>
      <c r="B83" s="1" t="s">
        <v>80</v>
      </c>
      <c r="C83" s="1" t="s">
        <v>81</v>
      </c>
      <c r="D83" s="1" t="str">
        <f>+TagData[[#This Row],[TagName]]&amp;"_"&amp;TagData[[#This Row],[Description]]</f>
        <v>TI37537_ Temp of Puri. Reboiler Pump P37502</v>
      </c>
      <c r="E83" cm="1">
        <f t="array" aca="1" ref="E83" ca="1">IF(ISNUMBER(SEARCH(INDIRECT(CELL("address")),TagData[[#This Row],[Combined]])),MAX($E$1:E82)+1,0)</f>
        <v>0</v>
      </c>
      <c r="F83" s="1" t="str">
        <f ca="1">IFERROR(INDEX(TagData[],MATCH(ROWS(F$1:$G82),TagData[Search],0),4),"")</f>
        <v/>
      </c>
    </row>
    <row r="84" spans="1:6" x14ac:dyDescent="0.3">
      <c r="A84">
        <v>206</v>
      </c>
      <c r="B84" s="1" t="s">
        <v>82</v>
      </c>
      <c r="C84" s="1" t="s">
        <v>83</v>
      </c>
      <c r="D84" s="1" t="str">
        <f>+TagData[[#This Row],[TagName]]&amp;"_"&amp;TagData[[#This Row],[Description]]</f>
        <v>TI36683_ Temp of TDI Catch Tank T36622</v>
      </c>
      <c r="E84" cm="1">
        <f t="array" aca="1" ref="E84" ca="1">IF(ISNUMBER(SEARCH(INDIRECT(CELL("address")),TagData[[#This Row],[Combined]])),MAX($E$1:E83)+1,0)</f>
        <v>0</v>
      </c>
      <c r="F84" s="1" t="str">
        <f ca="1">IFERROR(INDEX(TagData[],MATCH(ROWS(F$1:$G83),TagData[Search],0),4),"")</f>
        <v/>
      </c>
    </row>
    <row r="85" spans="1:6" x14ac:dyDescent="0.3">
      <c r="A85">
        <v>207</v>
      </c>
      <c r="B85" s="1" t="s">
        <v>80</v>
      </c>
      <c r="C85" s="1" t="s">
        <v>81</v>
      </c>
      <c r="D85" s="1" t="str">
        <f>+TagData[[#This Row],[TagName]]&amp;"_"&amp;TagData[[#This Row],[Description]]</f>
        <v>TI37537_ Temp of Puri. Reboiler Pump P37502</v>
      </c>
      <c r="E85" cm="1">
        <f t="array" aca="1" ref="E85" ca="1">IF(ISNUMBER(SEARCH(INDIRECT(CELL("address")),TagData[[#This Row],[Combined]])),MAX($E$1:E84)+1,0)</f>
        <v>0</v>
      </c>
      <c r="F85" s="1" t="str">
        <f ca="1">IFERROR(INDEX(TagData[],MATCH(ROWS(F$1:$G84),TagData[Search],0),4),"")</f>
        <v/>
      </c>
    </row>
    <row r="86" spans="1:6" x14ac:dyDescent="0.3">
      <c r="A86">
        <v>212</v>
      </c>
      <c r="B86" s="1" t="s">
        <v>82</v>
      </c>
      <c r="C86" s="1" t="s">
        <v>83</v>
      </c>
      <c r="D86" s="1" t="str">
        <f>+TagData[[#This Row],[TagName]]&amp;"_"&amp;TagData[[#This Row],[Description]]</f>
        <v>TI36683_ Temp of TDI Catch Tank T36622</v>
      </c>
      <c r="E86" cm="1">
        <f t="array" aca="1" ref="E86" ca="1">IF(ISNUMBER(SEARCH(INDIRECT(CELL("address")),TagData[[#This Row],[Combined]])),MAX($E$1:E85)+1,0)</f>
        <v>0</v>
      </c>
      <c r="F86" s="1" t="str">
        <f ca="1">IFERROR(INDEX(TagData[],MATCH(ROWS(F$1:$G85),TagData[Search],0),4),"")</f>
        <v/>
      </c>
    </row>
    <row r="87" spans="1:6" x14ac:dyDescent="0.3">
      <c r="A87">
        <v>211</v>
      </c>
      <c r="B87" s="1" t="s">
        <v>84</v>
      </c>
      <c r="C87" s="1" t="s">
        <v>85</v>
      </c>
      <c r="D87" s="1" t="str">
        <f>+TagData[[#This Row],[TagName]]&amp;"_"&amp;TagData[[#This Row],[Description]]</f>
        <v>TIC36686_ Temp of WC from E36623 O/L</v>
      </c>
      <c r="E87" cm="1">
        <f t="array" aca="1" ref="E87" ca="1">IF(ISNUMBER(SEARCH(INDIRECT(CELL("address")),TagData[[#This Row],[Combined]])),MAX($E$1:E86)+1,0)</f>
        <v>0</v>
      </c>
      <c r="F87" s="1" t="str">
        <f ca="1">IFERROR(INDEX(TagData[],MATCH(ROWS(F$1:$G86),TagData[Search],0),4),"")</f>
        <v/>
      </c>
    </row>
    <row r="88" spans="1:6" x14ac:dyDescent="0.3">
      <c r="A88">
        <v>213</v>
      </c>
      <c r="B88" s="1" t="s">
        <v>84</v>
      </c>
      <c r="C88" s="1" t="s">
        <v>86</v>
      </c>
      <c r="D88" s="1" t="str">
        <f>+TagData[[#This Row],[TagName]]&amp;"_"&amp;TagData[[#This Row],[Description]]</f>
        <v>TIC36686_ Temp Control of WC from E36623 O/L</v>
      </c>
      <c r="E88" cm="1">
        <f t="array" aca="1" ref="E88" ca="1">IF(ISNUMBER(SEARCH(INDIRECT(CELL("address")),TagData[[#This Row],[Combined]])),MAX($E$1:E87)+1,0)</f>
        <v>0</v>
      </c>
      <c r="F88" s="1" t="str">
        <f ca="1">IFERROR(INDEX(TagData[],MATCH(ROWS(F$1:$G87),TagData[Search],0),4),"")</f>
        <v/>
      </c>
    </row>
    <row r="89" spans="1:6" x14ac:dyDescent="0.3">
      <c r="A89">
        <v>217</v>
      </c>
      <c r="B89" s="1" t="s">
        <v>84</v>
      </c>
      <c r="C89" s="1" t="s">
        <v>85</v>
      </c>
      <c r="D89" s="1" t="str">
        <f>+TagData[[#This Row],[TagName]]&amp;"_"&amp;TagData[[#This Row],[Description]]</f>
        <v>TIC36686_ Temp of WC from E36623 O/L</v>
      </c>
      <c r="E89" cm="1">
        <f t="array" aca="1" ref="E89" ca="1">IF(ISNUMBER(SEARCH(INDIRECT(CELL("address")),TagData[[#This Row],[Combined]])),MAX($E$1:E88)+1,0)</f>
        <v>0</v>
      </c>
      <c r="F89" s="1" t="str">
        <f ca="1">IFERROR(INDEX(TagData[],MATCH(ROWS(F$1:$G88),TagData[Search],0),4),"")</f>
        <v/>
      </c>
    </row>
    <row r="90" spans="1:6" x14ac:dyDescent="0.3">
      <c r="A90">
        <v>218</v>
      </c>
      <c r="B90" s="1" t="s">
        <v>87</v>
      </c>
      <c r="C90" s="1" t="s">
        <v>88</v>
      </c>
      <c r="D90" s="1" t="str">
        <f>+TagData[[#This Row],[TagName]]&amp;"_"&amp;TagData[[#This Row],[Description]]</f>
        <v>JI37102_Current of Pri Reboiler Pump P37102</v>
      </c>
      <c r="E90" cm="1">
        <f t="array" aca="1" ref="E90" ca="1">IF(ISNUMBER(SEARCH(INDIRECT(CELL("address")),TagData[[#This Row],[Combined]])),MAX($E$1:E89)+1,0)</f>
        <v>0</v>
      </c>
      <c r="F90" s="1" t="str">
        <f ca="1">IFERROR(INDEX(TagData[],MATCH(ROWS(F$1:$G89),TagData[Search],0),4),"")</f>
        <v/>
      </c>
    </row>
    <row r="91" spans="1:6" x14ac:dyDescent="0.3">
      <c r="A91">
        <v>222</v>
      </c>
      <c r="B91" s="1" t="s">
        <v>84</v>
      </c>
      <c r="C91" s="1" t="s">
        <v>86</v>
      </c>
      <c r="D91" s="1" t="str">
        <f>+TagData[[#This Row],[TagName]]&amp;"_"&amp;TagData[[#This Row],[Description]]</f>
        <v>TIC36686_ Temp Control of WC from E36623 O/L</v>
      </c>
      <c r="E91" cm="1">
        <f t="array" aca="1" ref="E91" ca="1">IF(ISNUMBER(SEARCH(INDIRECT(CELL("address")),TagData[[#This Row],[Combined]])),MAX($E$1:E90)+1,0)</f>
        <v>0</v>
      </c>
      <c r="F91" s="1" t="str">
        <f ca="1">IFERROR(INDEX(TagData[],MATCH(ROWS(F$1:$G90),TagData[Search],0),4),"")</f>
        <v/>
      </c>
    </row>
    <row r="92" spans="1:6" x14ac:dyDescent="0.3">
      <c r="A92">
        <v>227</v>
      </c>
      <c r="B92" s="1" t="s">
        <v>87</v>
      </c>
      <c r="C92" s="1" t="s">
        <v>88</v>
      </c>
      <c r="D92" s="1" t="str">
        <f>+TagData[[#This Row],[TagName]]&amp;"_"&amp;TagData[[#This Row],[Description]]</f>
        <v>JI37102_Current of Pri Reboiler Pump P37102</v>
      </c>
      <c r="E92" cm="1">
        <f t="array" aca="1" ref="E92" ca="1">IF(ISNUMBER(SEARCH(INDIRECT(CELL("address")),TagData[[#This Row],[Combined]])),MAX($E$1:E91)+1,0)</f>
        <v>0</v>
      </c>
      <c r="F92" s="1" t="str">
        <f ca="1">IFERROR(INDEX(TagData[],MATCH(ROWS(F$1:$G91),TagData[Search],0),4),"")</f>
        <v/>
      </c>
    </row>
    <row r="93" spans="1:6" x14ac:dyDescent="0.3">
      <c r="A93">
        <v>226</v>
      </c>
      <c r="B93" s="1" t="s">
        <v>89</v>
      </c>
      <c r="C93" s="1" t="s">
        <v>90</v>
      </c>
      <c r="D93" s="1" t="str">
        <f>+TagData[[#This Row],[TagName]]&amp;"_"&amp;TagData[[#This Row],[Description]]</f>
        <v>JI37187_Current of Pri Reflux Pump P37107</v>
      </c>
      <c r="E93" cm="1">
        <f t="array" aca="1" ref="E93" ca="1">IF(ISNUMBER(SEARCH(INDIRECT(CELL("address")),TagData[[#This Row],[Combined]])),MAX($E$1:E92)+1,0)</f>
        <v>0</v>
      </c>
      <c r="F93" s="1" t="str">
        <f ca="1">IFERROR(INDEX(TagData[],MATCH(ROWS(F$1:$G92),TagData[Search],0),4),"")</f>
        <v/>
      </c>
    </row>
    <row r="94" spans="1:6" x14ac:dyDescent="0.3">
      <c r="A94">
        <v>228</v>
      </c>
      <c r="B94" s="1" t="s">
        <v>91</v>
      </c>
      <c r="C94" s="1" t="s">
        <v>92</v>
      </c>
      <c r="D94" s="1" t="str">
        <f>+TagData[[#This Row],[TagName]]&amp;"_"&amp;TagData[[#This Row],[Description]]</f>
        <v>JI37155_Current of Vent Conden Pump P37111</v>
      </c>
      <c r="E94" cm="1">
        <f t="array" aca="1" ref="E94" ca="1">IF(ISNUMBER(SEARCH(INDIRECT(CELL("address")),TagData[[#This Row],[Combined]])),MAX($E$1:E93)+1,0)</f>
        <v>1</v>
      </c>
      <c r="F94" s="1" t="str">
        <f ca="1">IFERROR(INDEX(TagData[],MATCH(ROWS(F$1:$G93),TagData[Search],0),4),"")</f>
        <v/>
      </c>
    </row>
    <row r="95" spans="1:6" x14ac:dyDescent="0.3">
      <c r="A95">
        <v>232</v>
      </c>
      <c r="B95" s="1" t="s">
        <v>89</v>
      </c>
      <c r="C95" s="1" t="s">
        <v>90</v>
      </c>
      <c r="D95" s="1" t="str">
        <f>+TagData[[#This Row],[TagName]]&amp;"_"&amp;TagData[[#This Row],[Description]]</f>
        <v>JI37187_Current of Pri Reflux Pump P37107</v>
      </c>
      <c r="E95" cm="1">
        <f t="array" aca="1" ref="E95" ca="1">IF(ISNUMBER(SEARCH(INDIRECT(CELL("address")),TagData[[#This Row],[Combined]])),MAX($E$1:E94)+1,0)</f>
        <v>0</v>
      </c>
      <c r="F95" s="1" t="str">
        <f ca="1">IFERROR(INDEX(TagData[],MATCH(ROWS(F$1:$G94),TagData[Search],0),4),"")</f>
        <v/>
      </c>
    </row>
    <row r="96" spans="1:6" x14ac:dyDescent="0.3">
      <c r="A96">
        <v>237</v>
      </c>
      <c r="B96" s="1" t="s">
        <v>91</v>
      </c>
      <c r="C96" s="1" t="s">
        <v>92</v>
      </c>
      <c r="D96" s="1" t="str">
        <f>+TagData[[#This Row],[TagName]]&amp;"_"&amp;TagData[[#This Row],[Description]]</f>
        <v>JI37155_Current of Vent Conden Pump P37111</v>
      </c>
      <c r="E96" cm="1">
        <f t="array" aca="1" ref="E96" ca="1">IF(ISNUMBER(SEARCH(INDIRECT(CELL("address")),TagData[[#This Row],[Combined]])),MAX($E$1:E95)+1,0)</f>
        <v>2</v>
      </c>
      <c r="F96" s="1" t="str">
        <f ca="1">IFERROR(INDEX(TagData[],MATCH(ROWS(F$1:$G95),TagData[Search],0),4),"")</f>
        <v/>
      </c>
    </row>
    <row r="97" spans="1:6" x14ac:dyDescent="0.3">
      <c r="A97">
        <v>233</v>
      </c>
      <c r="B97" s="1" t="s">
        <v>93</v>
      </c>
      <c r="C97" s="1" t="s">
        <v>94</v>
      </c>
      <c r="D97" s="1" t="str">
        <f>+TagData[[#This Row],[TagName]]&amp;"_"&amp;TagData[[#This Row],[Description]]</f>
        <v>JI37182_Current of Recovered ODCB Pump P37113</v>
      </c>
      <c r="E97" cm="1">
        <f t="array" aca="1" ref="E97" ca="1">IF(ISNUMBER(SEARCH(INDIRECT(CELL("address")),TagData[[#This Row],[Combined]])),MAX($E$1:E96)+1,0)</f>
        <v>0</v>
      </c>
      <c r="F97" s="1" t="str">
        <f ca="1">IFERROR(INDEX(TagData[],MATCH(ROWS(F$1:$G96),TagData[Search],0),4),"")</f>
        <v/>
      </c>
    </row>
    <row r="98" spans="1:6" x14ac:dyDescent="0.3">
      <c r="A98">
        <v>242</v>
      </c>
      <c r="B98" s="1" t="s">
        <v>93</v>
      </c>
      <c r="C98" s="1" t="s">
        <v>94</v>
      </c>
      <c r="D98" s="1" t="str">
        <f>+TagData[[#This Row],[TagName]]&amp;"_"&amp;TagData[[#This Row],[Description]]</f>
        <v>JI37182_Current of Recovered ODCB Pump P37113</v>
      </c>
      <c r="E98" cm="1">
        <f t="array" aca="1" ref="E98" ca="1">IF(ISNUMBER(SEARCH(INDIRECT(CELL("address")),TagData[[#This Row],[Combined]])),MAX($E$1:E97)+1,0)</f>
        <v>0</v>
      </c>
      <c r="F98" s="1" t="str">
        <f ca="1">IFERROR(INDEX(TagData[],MATCH(ROWS(F$1:$G97),TagData[Search],0),4),"")</f>
        <v/>
      </c>
    </row>
    <row r="99" spans="1:6" x14ac:dyDescent="0.3">
      <c r="A99">
        <v>238</v>
      </c>
      <c r="B99" s="1" t="s">
        <v>95</v>
      </c>
      <c r="C99" s="1" t="s">
        <v>96</v>
      </c>
      <c r="D99" s="1" t="str">
        <f>+TagData[[#This Row],[TagName]]&amp;"_"&amp;TagData[[#This Row],[Description]]</f>
        <v>TI37141_ Temp of C37101 bottem O/L</v>
      </c>
      <c r="E99" cm="1">
        <f t="array" aca="1" ref="E99" ca="1">IF(ISNUMBER(SEARCH(INDIRECT(CELL("address")),TagData[[#This Row],[Combined]])),MAX($E$1:E98)+1,0)</f>
        <v>0</v>
      </c>
      <c r="F99" s="1" t="str">
        <f ca="1">IFERROR(INDEX(TagData[],MATCH(ROWS(F$1:$G98),TagData[Search],0),4),"")</f>
        <v/>
      </c>
    </row>
    <row r="100" spans="1:6" x14ac:dyDescent="0.3">
      <c r="A100">
        <v>243</v>
      </c>
      <c r="B100" s="1" t="s">
        <v>97</v>
      </c>
      <c r="C100" s="1" t="s">
        <v>98</v>
      </c>
      <c r="D100" s="1" t="str">
        <f>+TagData[[#This Row],[TagName]]&amp;"_"&amp;TagData[[#This Row],[Description]]</f>
        <v>FIC37134_Flow SMP to Primary Reboiler E37103</v>
      </c>
      <c r="E100" cm="1">
        <f t="array" aca="1" ref="E100" ca="1">IF(ISNUMBER(SEARCH(INDIRECT(CELL("address")),TagData[[#This Row],[Combined]])),MAX($E$1:E99)+1,0)</f>
        <v>0</v>
      </c>
      <c r="F100" s="1" t="str">
        <f ca="1">IFERROR(INDEX(TagData[],MATCH(ROWS(F$1:$G99),TagData[Search],0),4),"")</f>
        <v/>
      </c>
    </row>
    <row r="101" spans="1:6" x14ac:dyDescent="0.3">
      <c r="A101">
        <v>247</v>
      </c>
      <c r="B101" s="1" t="s">
        <v>95</v>
      </c>
      <c r="C101" s="1" t="s">
        <v>96</v>
      </c>
      <c r="D101" s="1" t="str">
        <f>+TagData[[#This Row],[TagName]]&amp;"_"&amp;TagData[[#This Row],[Description]]</f>
        <v>TI37141_ Temp of C37101 bottem O/L</v>
      </c>
      <c r="E101" cm="1">
        <f t="array" aca="1" ref="E101" ca="1">IF(ISNUMBER(SEARCH(INDIRECT(CELL("address")),TagData[[#This Row],[Combined]])),MAX($E$1:E100)+1,0)</f>
        <v>0</v>
      </c>
      <c r="F101" s="1" t="str">
        <f ca="1">IFERROR(INDEX(TagData[],MATCH(ROWS(F$1:$G100),TagData[Search],0),4),"")</f>
        <v/>
      </c>
    </row>
    <row r="102" spans="1:6" x14ac:dyDescent="0.3">
      <c r="A102">
        <v>248</v>
      </c>
      <c r="B102" s="1" t="s">
        <v>97</v>
      </c>
      <c r="C102" s="1" t="s">
        <v>99</v>
      </c>
      <c r="D102" s="1" t="str">
        <f>+TagData[[#This Row],[TagName]]&amp;"_"&amp;TagData[[#This Row],[Description]]</f>
        <v>FIC37134_ Flow Control SMP to E37103</v>
      </c>
      <c r="E102" cm="1">
        <f t="array" aca="1" ref="E102" ca="1">IF(ISNUMBER(SEARCH(INDIRECT(CELL("address")),TagData[[#This Row],[Combined]])),MAX($E$1:E101)+1,0)</f>
        <v>0</v>
      </c>
      <c r="F102" s="1" t="str">
        <f ca="1">IFERROR(INDEX(TagData[],MATCH(ROWS(F$1:$G101),TagData[Search],0),4),"")</f>
        <v/>
      </c>
    </row>
    <row r="103" spans="1:6" x14ac:dyDescent="0.3">
      <c r="A103">
        <v>252</v>
      </c>
      <c r="B103" s="1" t="s">
        <v>97</v>
      </c>
      <c r="C103" s="1" t="s">
        <v>98</v>
      </c>
      <c r="D103" s="1" t="str">
        <f>+TagData[[#This Row],[TagName]]&amp;"_"&amp;TagData[[#This Row],[Description]]</f>
        <v>FIC37134_Flow SMP to Primary Reboiler E37103</v>
      </c>
      <c r="E103" cm="1">
        <f t="array" aca="1" ref="E103" ca="1">IF(ISNUMBER(SEARCH(INDIRECT(CELL("address")),TagData[[#This Row],[Combined]])),MAX($E$1:E102)+1,0)</f>
        <v>0</v>
      </c>
      <c r="F103" s="1" t="str">
        <f ca="1">IFERROR(INDEX(TagData[],MATCH(ROWS(F$1:$G102),TagData[Search],0),4),"")</f>
        <v/>
      </c>
    </row>
    <row r="104" spans="1:6" x14ac:dyDescent="0.3">
      <c r="A104">
        <v>257</v>
      </c>
      <c r="B104" s="1" t="s">
        <v>97</v>
      </c>
      <c r="C104" s="1" t="s">
        <v>99</v>
      </c>
      <c r="D104" s="1" t="str">
        <f>+TagData[[#This Row],[TagName]]&amp;"_"&amp;TagData[[#This Row],[Description]]</f>
        <v>FIC37134_ Flow Control SMP to E37103</v>
      </c>
      <c r="E104" cm="1">
        <f t="array" aca="1" ref="E104" ca="1">IF(ISNUMBER(SEARCH(INDIRECT(CELL("address")),TagData[[#This Row],[Combined]])),MAX($E$1:E103)+1,0)</f>
        <v>0</v>
      </c>
      <c r="F104" s="1" t="str">
        <f ca="1">IFERROR(INDEX(TagData[],MATCH(ROWS(F$1:$G103),TagData[Search],0),4),"")</f>
        <v/>
      </c>
    </row>
    <row r="105" spans="1:6" x14ac:dyDescent="0.3">
      <c r="A105">
        <v>253</v>
      </c>
      <c r="B105" s="1" t="s">
        <v>100</v>
      </c>
      <c r="C105" s="1" t="s">
        <v>101</v>
      </c>
      <c r="D105" s="1" t="str">
        <f>+TagData[[#This Row],[TagName]]&amp;"_"&amp;TagData[[#This Row],[Description]]</f>
        <v>LI37123_Level Ctrl of Primary ODCB Column C37101</v>
      </c>
      <c r="E105" cm="1">
        <f t="array" aca="1" ref="E105" ca="1">IF(ISNUMBER(SEARCH(INDIRECT(CELL("address")),TagData[[#This Row],[Combined]])),MAX($E$1:E104)+1,0)</f>
        <v>0</v>
      </c>
      <c r="F105" s="1" t="str">
        <f ca="1">IFERROR(INDEX(TagData[],MATCH(ROWS(F$1:$G104),TagData[Search],0),4),"")</f>
        <v/>
      </c>
    </row>
    <row r="106" spans="1:6" x14ac:dyDescent="0.3">
      <c r="A106">
        <v>261</v>
      </c>
      <c r="B106" s="1" t="s">
        <v>102</v>
      </c>
      <c r="C106" s="1" t="s">
        <v>103</v>
      </c>
      <c r="D106" s="1" t="str">
        <f>+TagData[[#This Row],[TagName]]&amp;"_"&amp;TagData[[#This Row],[Description]]</f>
        <v>FIC37142_ Flow of bottom draw to C37101</v>
      </c>
      <c r="E106" cm="1">
        <f t="array" aca="1" ref="E106" ca="1">IF(ISNUMBER(SEARCH(INDIRECT(CELL("address")),TagData[[#This Row],[Combined]])),MAX($E$1:E105)+1,0)</f>
        <v>0</v>
      </c>
      <c r="F106" s="1" t="str">
        <f ca="1">IFERROR(INDEX(TagData[],MATCH(ROWS(F$1:$G105),TagData[Search],0),4),"")</f>
        <v/>
      </c>
    </row>
    <row r="107" spans="1:6" x14ac:dyDescent="0.3">
      <c r="A107">
        <v>262</v>
      </c>
      <c r="B107" s="1" t="s">
        <v>100</v>
      </c>
      <c r="C107" s="1" t="s">
        <v>101</v>
      </c>
      <c r="D107" s="1" t="str">
        <f>+TagData[[#This Row],[TagName]]&amp;"_"&amp;TagData[[#This Row],[Description]]</f>
        <v>LI37123_Level Ctrl of Primary ODCB Column C37101</v>
      </c>
      <c r="E107" cm="1">
        <f t="array" aca="1" ref="E107" ca="1">IF(ISNUMBER(SEARCH(INDIRECT(CELL("address")),TagData[[#This Row],[Combined]])),MAX($E$1:E106)+1,0)</f>
        <v>0</v>
      </c>
      <c r="F107" s="1" t="str">
        <f ca="1">IFERROR(INDEX(TagData[],MATCH(ROWS(F$1:$G106),TagData[Search],0),4),"")</f>
        <v/>
      </c>
    </row>
    <row r="108" spans="1:6" x14ac:dyDescent="0.3">
      <c r="A108">
        <v>267</v>
      </c>
      <c r="B108" s="1" t="s">
        <v>102</v>
      </c>
      <c r="C108" s="1" t="s">
        <v>103</v>
      </c>
      <c r="D108" s="1" t="str">
        <f>+TagData[[#This Row],[TagName]]&amp;"_"&amp;TagData[[#This Row],[Description]]</f>
        <v>FIC37142_ Flow of bottom draw to C37101</v>
      </c>
      <c r="E108" cm="1">
        <f t="array" aca="1" ref="E108" ca="1">IF(ISNUMBER(SEARCH(INDIRECT(CELL("address")),TagData[[#This Row],[Combined]])),MAX($E$1:E107)+1,0)</f>
        <v>0</v>
      </c>
      <c r="F108" s="1" t="str">
        <f ca="1">IFERROR(INDEX(TagData[],MATCH(ROWS(F$1:$G107),TagData[Search],0),4),"")</f>
        <v/>
      </c>
    </row>
    <row r="109" spans="1:6" x14ac:dyDescent="0.3">
      <c r="A109">
        <v>266</v>
      </c>
      <c r="B109" s="1" t="s">
        <v>104</v>
      </c>
      <c r="C109" s="1" t="s">
        <v>105</v>
      </c>
      <c r="D109" s="1" t="str">
        <f>+TagData[[#This Row],[TagName]]&amp;"_"&amp;TagData[[#This Row],[Description]]</f>
        <v>PI37122_ Pressure of  C37101 bottom</v>
      </c>
      <c r="E109" cm="1">
        <f t="array" aca="1" ref="E109" ca="1">IF(ISNUMBER(SEARCH(INDIRECT(CELL("address")),TagData[[#This Row],[Combined]])),MAX($E$1:E108)+1,0)</f>
        <v>0</v>
      </c>
      <c r="F109" s="1" t="str">
        <f ca="1">IFERROR(INDEX(TagData[],MATCH(ROWS(F$1:$G108),TagData[Search],0),4),"")</f>
        <v/>
      </c>
    </row>
    <row r="110" spans="1:6" x14ac:dyDescent="0.3">
      <c r="A110">
        <v>271</v>
      </c>
      <c r="B110" s="1" t="s">
        <v>106</v>
      </c>
      <c r="C110" s="1" t="s">
        <v>107</v>
      </c>
      <c r="D110" s="1" t="str">
        <f>+TagData[[#This Row],[TagName]]&amp;"_"&amp;TagData[[#This Row],[Description]]</f>
        <v>FI37104_Flow ODBC from C37101 to T37112</v>
      </c>
      <c r="E110" cm="1">
        <f t="array" aca="1" ref="E110" ca="1">IF(ISNUMBER(SEARCH(INDIRECT(CELL("address")),TagData[[#This Row],[Combined]])),MAX($E$1:E109)+1,0)</f>
        <v>0</v>
      </c>
      <c r="F110" s="1" t="str">
        <f ca="1">IFERROR(INDEX(TagData[],MATCH(ROWS(F$1:$G109),TagData[Search],0),4),"")</f>
        <v/>
      </c>
    </row>
    <row r="111" spans="1:6" x14ac:dyDescent="0.3">
      <c r="A111">
        <v>272</v>
      </c>
      <c r="B111" s="1" t="s">
        <v>104</v>
      </c>
      <c r="C111" s="1" t="s">
        <v>105</v>
      </c>
      <c r="D111" s="1" t="str">
        <f>+TagData[[#This Row],[TagName]]&amp;"_"&amp;TagData[[#This Row],[Description]]</f>
        <v>PI37122_ Pressure of  C37101 bottom</v>
      </c>
      <c r="E111" cm="1">
        <f t="array" aca="1" ref="E111" ca="1">IF(ISNUMBER(SEARCH(INDIRECT(CELL("address")),TagData[[#This Row],[Combined]])),MAX($E$1:E110)+1,0)</f>
        <v>0</v>
      </c>
      <c r="F111" s="1" t="str">
        <f ca="1">IFERROR(INDEX(TagData[],MATCH(ROWS(F$1:$G110),TagData[Search],0),4),"")</f>
        <v/>
      </c>
    </row>
    <row r="112" spans="1:6" x14ac:dyDescent="0.3">
      <c r="A112">
        <v>277</v>
      </c>
      <c r="B112" s="1" t="s">
        <v>106</v>
      </c>
      <c r="C112" s="1" t="s">
        <v>107</v>
      </c>
      <c r="D112" s="1" t="str">
        <f>+TagData[[#This Row],[TagName]]&amp;"_"&amp;TagData[[#This Row],[Description]]</f>
        <v>FI37104_Flow ODBC from C37101 to T37112</v>
      </c>
      <c r="E112" cm="1">
        <f t="array" aca="1" ref="E112" ca="1">IF(ISNUMBER(SEARCH(INDIRECT(CELL("address")),TagData[[#This Row],[Combined]])),MAX($E$1:E111)+1,0)</f>
        <v>0</v>
      </c>
      <c r="F112" s="1" t="str">
        <f ca="1">IFERROR(INDEX(TagData[],MATCH(ROWS(F$1:$G111),TagData[Search],0),4),"")</f>
        <v/>
      </c>
    </row>
    <row r="113" spans="1:6" x14ac:dyDescent="0.3">
      <c r="A113">
        <v>273</v>
      </c>
      <c r="B113" s="1" t="s">
        <v>108</v>
      </c>
      <c r="C113" s="1" t="s">
        <v>109</v>
      </c>
      <c r="D113" s="1" t="str">
        <f>+TagData[[#This Row],[TagName]]&amp;"_"&amp;TagData[[#This Row],[Description]]</f>
        <v>TIC37125_Temp of Primary Clmn C37101 bottom</v>
      </c>
      <c r="E113" cm="1">
        <f t="array" aca="1" ref="E113" ca="1">IF(ISNUMBER(SEARCH(INDIRECT(CELL("address")),TagData[[#This Row],[Combined]])),MAX($E$1:E112)+1,0)</f>
        <v>0</v>
      </c>
      <c r="F113" s="1" t="str">
        <f ca="1">IFERROR(INDEX(TagData[],MATCH(ROWS(F$1:$G112),TagData[Search],0),4),"")</f>
        <v/>
      </c>
    </row>
    <row r="114" spans="1:6" x14ac:dyDescent="0.3">
      <c r="A114">
        <v>281</v>
      </c>
      <c r="B114" s="1" t="s">
        <v>108</v>
      </c>
      <c r="C114" s="1" t="s">
        <v>110</v>
      </c>
      <c r="D114" s="1" t="str">
        <f>+TagData[[#This Row],[TagName]]&amp;"_"&amp;TagData[[#This Row],[Description]]</f>
        <v>TIC37125_ Temp Control of C37101 bottom</v>
      </c>
      <c r="E114" cm="1">
        <f t="array" aca="1" ref="E114" ca="1">IF(ISNUMBER(SEARCH(INDIRECT(CELL("address")),TagData[[#This Row],[Combined]])),MAX($E$1:E113)+1,0)</f>
        <v>0</v>
      </c>
      <c r="F114" s="1" t="str">
        <f ca="1">IFERROR(INDEX(TagData[],MATCH(ROWS(F$1:$G113),TagData[Search],0),4),"")</f>
        <v/>
      </c>
    </row>
    <row r="115" spans="1:6" x14ac:dyDescent="0.3">
      <c r="A115">
        <v>282</v>
      </c>
      <c r="B115" s="1" t="s">
        <v>108</v>
      </c>
      <c r="C115" s="1" t="s">
        <v>109</v>
      </c>
      <c r="D115" s="1" t="str">
        <f>+TagData[[#This Row],[TagName]]&amp;"_"&amp;TagData[[#This Row],[Description]]</f>
        <v>TIC37125_Temp of Primary Clmn C37101 bottom</v>
      </c>
      <c r="E115" cm="1">
        <f t="array" aca="1" ref="E115" ca="1">IF(ISNUMBER(SEARCH(INDIRECT(CELL("address")),TagData[[#This Row],[Combined]])),MAX($E$1:E114)+1,0)</f>
        <v>0</v>
      </c>
      <c r="F115" s="1" t="str">
        <f ca="1">IFERROR(INDEX(TagData[],MATCH(ROWS(F$1:$G114),TagData[Search],0),4),"")</f>
        <v/>
      </c>
    </row>
    <row r="116" spans="1:6" x14ac:dyDescent="0.3">
      <c r="A116">
        <v>286</v>
      </c>
      <c r="B116" s="1" t="s">
        <v>111</v>
      </c>
      <c r="C116" s="1" t="s">
        <v>112</v>
      </c>
      <c r="D116" s="1" t="str">
        <f>+TagData[[#This Row],[TagName]]&amp;"_"&amp;TagData[[#This Row],[Description]]</f>
        <v>FI37133_ Flow of Reflux to C37101</v>
      </c>
      <c r="E116" cm="1">
        <f t="array" aca="1" ref="E116" ca="1">IF(ISNUMBER(SEARCH(INDIRECT(CELL("address")),TagData[[#This Row],[Combined]])),MAX($E$1:E115)+1,0)</f>
        <v>0</v>
      </c>
      <c r="F116" s="1" t="str">
        <f ca="1">IFERROR(INDEX(TagData[],MATCH(ROWS(F$1:$G115),TagData[Search],0),4),"")</f>
        <v/>
      </c>
    </row>
    <row r="117" spans="1:6" x14ac:dyDescent="0.3">
      <c r="A117">
        <v>287</v>
      </c>
      <c r="B117" s="1" t="s">
        <v>108</v>
      </c>
      <c r="C117" s="1" t="s">
        <v>110</v>
      </c>
      <c r="D117" s="1" t="str">
        <f>+TagData[[#This Row],[TagName]]&amp;"_"&amp;TagData[[#This Row],[Description]]</f>
        <v>TIC37125_ Temp Control of C37101 bottom</v>
      </c>
      <c r="E117" cm="1">
        <f t="array" aca="1" ref="E117" ca="1">IF(ISNUMBER(SEARCH(INDIRECT(CELL("address")),TagData[[#This Row],[Combined]])),MAX($E$1:E116)+1,0)</f>
        <v>0</v>
      </c>
      <c r="F117" s="1" t="str">
        <f ca="1">IFERROR(INDEX(TagData[],MATCH(ROWS(F$1:$G116),TagData[Search],0),4),"")</f>
        <v/>
      </c>
    </row>
    <row r="118" spans="1:6" x14ac:dyDescent="0.3">
      <c r="A118">
        <v>292</v>
      </c>
      <c r="B118" s="1" t="s">
        <v>111</v>
      </c>
      <c r="C118" s="1" t="s">
        <v>112</v>
      </c>
      <c r="D118" s="1" t="str">
        <f>+TagData[[#This Row],[TagName]]&amp;"_"&amp;TagData[[#This Row],[Description]]</f>
        <v>FI37133_ Flow of Reflux to C37101</v>
      </c>
      <c r="E118" cm="1">
        <f t="array" aca="1" ref="E118" ca="1">IF(ISNUMBER(SEARCH(INDIRECT(CELL("address")),TagData[[#This Row],[Combined]])),MAX($E$1:E117)+1,0)</f>
        <v>0</v>
      </c>
      <c r="F118" s="1" t="str">
        <f ca="1">IFERROR(INDEX(TagData[],MATCH(ROWS(F$1:$G117),TagData[Search],0),4),"")</f>
        <v/>
      </c>
    </row>
    <row r="119" spans="1:6" x14ac:dyDescent="0.3">
      <c r="A119">
        <v>288</v>
      </c>
      <c r="B119" s="1" t="s">
        <v>113</v>
      </c>
      <c r="C119" s="1" t="s">
        <v>114</v>
      </c>
      <c r="D119" s="1" t="str">
        <f>+TagData[[#This Row],[TagName]]&amp;"_"&amp;TagData[[#This Row],[Description]]</f>
        <v>PDIC37113_ Diff Pressure Control of C37101</v>
      </c>
      <c r="E119" cm="1">
        <f t="array" aca="1" ref="E119" ca="1">IF(ISNUMBER(SEARCH(INDIRECT(CELL("address")),TagData[[#This Row],[Combined]])),MAX($E$1:E118)+1,0)</f>
        <v>0</v>
      </c>
      <c r="F119" s="1" t="str">
        <f ca="1">IFERROR(INDEX(TagData[],MATCH(ROWS(F$1:$G118),TagData[Search],0),4),"")</f>
        <v/>
      </c>
    </row>
    <row r="120" spans="1:6" x14ac:dyDescent="0.3">
      <c r="A120">
        <v>297</v>
      </c>
      <c r="B120" s="1" t="s">
        <v>113</v>
      </c>
      <c r="C120" s="1" t="s">
        <v>114</v>
      </c>
      <c r="D120" s="1" t="str">
        <f>+TagData[[#This Row],[TagName]]&amp;"_"&amp;TagData[[#This Row],[Description]]</f>
        <v>PDIC37113_ Diff Pressure Control of C37101</v>
      </c>
      <c r="E120" cm="1">
        <f t="array" aca="1" ref="E120" ca="1">IF(ISNUMBER(SEARCH(INDIRECT(CELL("address")),TagData[[#This Row],[Combined]])),MAX($E$1:E119)+1,0)</f>
        <v>0</v>
      </c>
      <c r="F120" s="1" t="str">
        <f ca="1">IFERROR(INDEX(TagData[],MATCH(ROWS(F$1:$G119),TagData[Search],0),4),"")</f>
        <v/>
      </c>
    </row>
    <row r="121" spans="1:6" x14ac:dyDescent="0.3">
      <c r="A121">
        <v>293</v>
      </c>
      <c r="B121" s="1" t="s">
        <v>115</v>
      </c>
      <c r="C121" s="1" t="s">
        <v>116</v>
      </c>
      <c r="D121" s="1" t="str">
        <f>+TagData[[#This Row],[TagName]]&amp;"_"&amp;TagData[[#This Row],[Description]]</f>
        <v>TI37114_ Temp of C37101 top</v>
      </c>
      <c r="E121" cm="1">
        <f t="array" aca="1" ref="E121" ca="1">IF(ISNUMBER(SEARCH(INDIRECT(CELL("address")),TagData[[#This Row],[Combined]])),MAX($E$1:E120)+1,0)</f>
        <v>0</v>
      </c>
      <c r="F121" s="1" t="str">
        <f ca="1">IFERROR(INDEX(TagData[],MATCH(ROWS(F$1:$G120),TagData[Search],0),4),"")</f>
        <v/>
      </c>
    </row>
    <row r="122" spans="1:6" x14ac:dyDescent="0.3">
      <c r="A122">
        <v>302</v>
      </c>
      <c r="B122" s="1" t="s">
        <v>115</v>
      </c>
      <c r="C122" s="1" t="s">
        <v>116</v>
      </c>
      <c r="D122" s="1" t="str">
        <f>+TagData[[#This Row],[TagName]]&amp;"_"&amp;TagData[[#This Row],[Description]]</f>
        <v>TI37114_ Temp of C37101 top</v>
      </c>
      <c r="E122" cm="1">
        <f t="array" aca="1" ref="E122" ca="1">IF(ISNUMBER(SEARCH(INDIRECT(CELL("address")),TagData[[#This Row],[Combined]])),MAX($E$1:E121)+1,0)</f>
        <v>0</v>
      </c>
      <c r="F122" s="1" t="str">
        <f ca="1">IFERROR(INDEX(TagData[],MATCH(ROWS(F$1:$G121),TagData[Search],0),4),"")</f>
        <v/>
      </c>
    </row>
    <row r="123" spans="1:6" x14ac:dyDescent="0.3">
      <c r="A123">
        <v>301</v>
      </c>
      <c r="B123" s="1" t="s">
        <v>117</v>
      </c>
      <c r="C123" s="1" t="s">
        <v>118</v>
      </c>
      <c r="D123" s="1" t="str">
        <f>+TagData[[#This Row],[TagName]]&amp;"_"&amp;TagData[[#This Row],[Description]]</f>
        <v>TI37131_ Temp of C37101 bottom</v>
      </c>
      <c r="E123" cm="1">
        <f t="array" aca="1" ref="E123" ca="1">IF(ISNUMBER(SEARCH(INDIRECT(CELL("address")),TagData[[#This Row],[Combined]])),MAX($E$1:E122)+1,0)</f>
        <v>0</v>
      </c>
      <c r="F123" s="1" t="str">
        <f ca="1">IFERROR(INDEX(TagData[],MATCH(ROWS(F$1:$G122),TagData[Search],0),4),"")</f>
        <v/>
      </c>
    </row>
    <row r="124" spans="1:6" x14ac:dyDescent="0.3">
      <c r="A124">
        <v>306</v>
      </c>
      <c r="B124" s="1" t="s">
        <v>119</v>
      </c>
      <c r="C124" s="1" t="s">
        <v>120</v>
      </c>
      <c r="D124" s="1" t="str">
        <f>+TagData[[#This Row],[TagName]]&amp;"_"&amp;TagData[[#This Row],[Description]]</f>
        <v>PI37132_ Pressure of SMP to E37103</v>
      </c>
      <c r="E124" cm="1">
        <f t="array" aca="1" ref="E124" ca="1">IF(ISNUMBER(SEARCH(INDIRECT(CELL("address")),TagData[[#This Row],[Combined]])),MAX($E$1:E123)+1,0)</f>
        <v>0</v>
      </c>
      <c r="F124" s="1" t="str">
        <f ca="1">IFERROR(INDEX(TagData[],MATCH(ROWS(F$1:$G123),TagData[Search],0),4),"")</f>
        <v/>
      </c>
    </row>
    <row r="125" spans="1:6" x14ac:dyDescent="0.3">
      <c r="A125">
        <v>307</v>
      </c>
      <c r="B125" s="1" t="s">
        <v>117</v>
      </c>
      <c r="C125" s="1" t="s">
        <v>118</v>
      </c>
      <c r="D125" s="1" t="str">
        <f>+TagData[[#This Row],[TagName]]&amp;"_"&amp;TagData[[#This Row],[Description]]</f>
        <v>TI37131_ Temp of C37101 bottom</v>
      </c>
      <c r="E125" cm="1">
        <f t="array" aca="1" ref="E125" ca="1">IF(ISNUMBER(SEARCH(INDIRECT(CELL("address")),TagData[[#This Row],[Combined]])),MAX($E$1:E124)+1,0)</f>
        <v>0</v>
      </c>
      <c r="F125" s="1" t="str">
        <f ca="1">IFERROR(INDEX(TagData[],MATCH(ROWS(F$1:$G124),TagData[Search],0),4),"")</f>
        <v/>
      </c>
    </row>
    <row r="126" spans="1:6" x14ac:dyDescent="0.3">
      <c r="A126">
        <v>312</v>
      </c>
      <c r="B126" s="1" t="s">
        <v>119</v>
      </c>
      <c r="C126" s="1" t="s">
        <v>120</v>
      </c>
      <c r="D126" s="1" t="str">
        <f>+TagData[[#This Row],[TagName]]&amp;"_"&amp;TagData[[#This Row],[Description]]</f>
        <v>PI37132_ Pressure of SMP to E37103</v>
      </c>
      <c r="E126" cm="1">
        <f t="array" aca="1" ref="E126" ca="1">IF(ISNUMBER(SEARCH(INDIRECT(CELL("address")),TagData[[#This Row],[Combined]])),MAX($E$1:E125)+1,0)</f>
        <v>0</v>
      </c>
      <c r="F126" s="1" t="str">
        <f ca="1">IFERROR(INDEX(TagData[],MATCH(ROWS(F$1:$G125),TagData[Search],0),4),"")</f>
        <v/>
      </c>
    </row>
    <row r="127" spans="1:6" x14ac:dyDescent="0.3">
      <c r="A127">
        <v>311</v>
      </c>
      <c r="B127" s="1" t="s">
        <v>121</v>
      </c>
      <c r="C127" s="1" t="s">
        <v>122</v>
      </c>
      <c r="D127" s="1" t="str">
        <f>+TagData[[#This Row],[TagName]]&amp;"_"&amp;TagData[[#This Row],[Description]]</f>
        <v>TI37121_Temp betn bed 2 and 3  C37101</v>
      </c>
      <c r="E127" cm="1">
        <f t="array" aca="1" ref="E127" ca="1">IF(ISNUMBER(SEARCH(INDIRECT(CELL("address")),TagData[[#This Row],[Combined]])),MAX($E$1:E126)+1,0)</f>
        <v>0</v>
      </c>
      <c r="F127" s="1" t="str">
        <f ca="1">IFERROR(INDEX(TagData[],MATCH(ROWS(F$1:$G126),TagData[Search],0),4),"")</f>
        <v/>
      </c>
    </row>
    <row r="128" spans="1:6" x14ac:dyDescent="0.3">
      <c r="A128">
        <v>317</v>
      </c>
      <c r="B128" s="1" t="s">
        <v>121</v>
      </c>
      <c r="C128" s="1" t="s">
        <v>122</v>
      </c>
      <c r="D128" s="1" t="str">
        <f>+TagData[[#This Row],[TagName]]&amp;"_"&amp;TagData[[#This Row],[Description]]</f>
        <v>TI37121_Temp betn bed 2 and 3  C37101</v>
      </c>
      <c r="E128" cm="1">
        <f t="array" aca="1" ref="E128" ca="1">IF(ISNUMBER(SEARCH(INDIRECT(CELL("address")),TagData[[#This Row],[Combined]])),MAX($E$1:E127)+1,0)</f>
        <v>0</v>
      </c>
      <c r="F128" s="1" t="str">
        <f ca="1">IFERROR(INDEX(TagData[],MATCH(ROWS(F$1:$G127),TagData[Search],0),4),"")</f>
        <v/>
      </c>
    </row>
    <row r="129" spans="1:6" x14ac:dyDescent="0.3">
      <c r="A129">
        <v>316</v>
      </c>
      <c r="B129" s="1" t="s">
        <v>123</v>
      </c>
      <c r="C129" s="1" t="s">
        <v>124</v>
      </c>
      <c r="D129" s="1" t="str">
        <f>+TagData[[#This Row],[TagName]]&amp;"_"&amp;TagData[[#This Row],[Description]]</f>
        <v>TI37124_ Temp of Bed 3 C37101</v>
      </c>
      <c r="E129" cm="1">
        <f t="array" aca="1" ref="E129" ca="1">IF(ISNUMBER(SEARCH(INDIRECT(CELL("address")),TagData[[#This Row],[Combined]])),MAX($E$1:E128)+1,0)</f>
        <v>0</v>
      </c>
      <c r="F129" s="1" t="str">
        <f ca="1">IFERROR(INDEX(TagData[],MATCH(ROWS(F$1:$G128),TagData[Search],0),4),"")</f>
        <v/>
      </c>
    </row>
    <row r="130" spans="1:6" x14ac:dyDescent="0.3">
      <c r="A130">
        <v>321</v>
      </c>
      <c r="B130" s="1" t="s">
        <v>125</v>
      </c>
      <c r="C130" s="1" t="s">
        <v>126</v>
      </c>
      <c r="D130" s="1" t="str">
        <f>+TagData[[#This Row],[TagName]]&amp;"_"&amp;TagData[[#This Row],[Description]]</f>
        <v>PI37117_Pressure betn bed 3 and 4 C37101</v>
      </c>
      <c r="E130" cm="1">
        <f t="array" aca="1" ref="E130" ca="1">IF(ISNUMBER(SEARCH(INDIRECT(CELL("address")),TagData[[#This Row],[Combined]])),MAX($E$1:E129)+1,0)</f>
        <v>0</v>
      </c>
      <c r="F130" s="1" t="str">
        <f ca="1">IFERROR(INDEX(TagData[],MATCH(ROWS(F$1:$G129),TagData[Search],0),4),"")</f>
        <v/>
      </c>
    </row>
    <row r="131" spans="1:6" x14ac:dyDescent="0.3">
      <c r="A131">
        <v>322</v>
      </c>
      <c r="B131" s="1" t="s">
        <v>123</v>
      </c>
      <c r="C131" s="1" t="s">
        <v>124</v>
      </c>
      <c r="D131" s="1" t="str">
        <f>+TagData[[#This Row],[TagName]]&amp;"_"&amp;TagData[[#This Row],[Description]]</f>
        <v>TI37124_ Temp of Bed 3 C37101</v>
      </c>
      <c r="E131" cm="1">
        <f t="array" aca="1" ref="E131" ca="1">IF(ISNUMBER(SEARCH(INDIRECT(CELL("address")),TagData[[#This Row],[Combined]])),MAX($E$1:E130)+1,0)</f>
        <v>0</v>
      </c>
      <c r="F131" s="1" t="str">
        <f ca="1">IFERROR(INDEX(TagData[],MATCH(ROWS(F$1:$G130),TagData[Search],0),4),"")</f>
        <v/>
      </c>
    </row>
    <row r="132" spans="1:6" x14ac:dyDescent="0.3">
      <c r="A132">
        <v>327</v>
      </c>
      <c r="B132" s="1" t="s">
        <v>125</v>
      </c>
      <c r="C132" s="1" t="s">
        <v>126</v>
      </c>
      <c r="D132" s="1" t="str">
        <f>+TagData[[#This Row],[TagName]]&amp;"_"&amp;TagData[[#This Row],[Description]]</f>
        <v>PI37117_Pressure betn bed 3 and 4 C37101</v>
      </c>
      <c r="E132" cm="1">
        <f t="array" aca="1" ref="E132" ca="1">IF(ISNUMBER(SEARCH(INDIRECT(CELL("address")),TagData[[#This Row],[Combined]])),MAX($E$1:E131)+1,0)</f>
        <v>0</v>
      </c>
      <c r="F132" s="1" t="str">
        <f ca="1">IFERROR(INDEX(TagData[],MATCH(ROWS(F$1:$G131),TagData[Search],0),4),"")</f>
        <v/>
      </c>
    </row>
    <row r="133" spans="1:6" x14ac:dyDescent="0.3">
      <c r="A133">
        <v>326</v>
      </c>
      <c r="B133" s="1" t="s">
        <v>127</v>
      </c>
      <c r="C133" s="1" t="s">
        <v>128</v>
      </c>
      <c r="D133" s="1" t="str">
        <f>+TagData[[#This Row],[TagName]]&amp;"_"&amp;TagData[[#This Row],[Description]]</f>
        <v>TI37116_Temp betn bed 1and 2  C37101</v>
      </c>
      <c r="E133" cm="1">
        <f t="array" aca="1" ref="E133" ca="1">IF(ISNUMBER(SEARCH(INDIRECT(CELL("address")),TagData[[#This Row],[Combined]])),MAX($E$1:E132)+1,0)</f>
        <v>0</v>
      </c>
      <c r="F133" s="1" t="str">
        <f ca="1">IFERROR(INDEX(TagData[],MATCH(ROWS(F$1:$G132),TagData[Search],0),4),"")</f>
        <v/>
      </c>
    </row>
    <row r="134" spans="1:6" x14ac:dyDescent="0.3">
      <c r="A134">
        <v>332</v>
      </c>
      <c r="B134" s="1" t="s">
        <v>127</v>
      </c>
      <c r="C134" s="1" t="s">
        <v>128</v>
      </c>
      <c r="D134" s="1" t="str">
        <f>+TagData[[#This Row],[TagName]]&amp;"_"&amp;TagData[[#This Row],[Description]]</f>
        <v>TI37116_Temp betn bed 1and 2  C37101</v>
      </c>
      <c r="E134" cm="1">
        <f t="array" aca="1" ref="E134" ca="1">IF(ISNUMBER(SEARCH(INDIRECT(CELL("address")),TagData[[#This Row],[Combined]])),MAX($E$1:E133)+1,0)</f>
        <v>0</v>
      </c>
      <c r="F134" s="1" t="str">
        <f ca="1">IFERROR(INDEX(TagData[],MATCH(ROWS(F$1:$G133),TagData[Search],0),4),"")</f>
        <v/>
      </c>
    </row>
    <row r="135" spans="1:6" x14ac:dyDescent="0.3">
      <c r="A135">
        <v>331</v>
      </c>
      <c r="B135" s="1" t="s">
        <v>129</v>
      </c>
      <c r="C135" s="1" t="s">
        <v>130</v>
      </c>
      <c r="D135" s="1" t="str">
        <f>+TagData[[#This Row],[TagName]]&amp;"_"&amp;TagData[[#This Row],[Description]]</f>
        <v>TI37118_ Temp of bed 2 C37101</v>
      </c>
      <c r="E135" cm="1">
        <f t="array" aca="1" ref="E135" ca="1">IF(ISNUMBER(SEARCH(INDIRECT(CELL("address")),TagData[[#This Row],[Combined]])),MAX($E$1:E134)+1,0)</f>
        <v>0</v>
      </c>
      <c r="F135" s="1" t="str">
        <f ca="1">IFERROR(INDEX(TagData[],MATCH(ROWS(F$1:$G134),TagData[Search],0),4),"")</f>
        <v/>
      </c>
    </row>
    <row r="136" spans="1:6" x14ac:dyDescent="0.3">
      <c r="A136">
        <v>336</v>
      </c>
      <c r="B136" s="1" t="s">
        <v>131</v>
      </c>
      <c r="C136" s="1" t="s">
        <v>132</v>
      </c>
      <c r="D136" s="1" t="str">
        <f>+TagData[[#This Row],[TagName]]&amp;"_"&amp;TagData[[#This Row],[Description]]</f>
        <v>PI37108_ Pr of Top of C37101 PSE37101</v>
      </c>
      <c r="E136" cm="1">
        <f t="array" aca="1" ref="E136" ca="1">IF(ISNUMBER(SEARCH(INDIRECT(CELL("address")),TagData[[#This Row],[Combined]])),MAX($E$1:E135)+1,0)</f>
        <v>0</v>
      </c>
      <c r="F136" s="1" t="str">
        <f ca="1">IFERROR(INDEX(TagData[],MATCH(ROWS(F$1:$G135),TagData[Search],0),4),"")</f>
        <v/>
      </c>
    </row>
    <row r="137" spans="1:6" x14ac:dyDescent="0.3">
      <c r="A137">
        <v>337</v>
      </c>
      <c r="B137" s="1" t="s">
        <v>129</v>
      </c>
      <c r="C137" s="1" t="s">
        <v>130</v>
      </c>
      <c r="D137" s="1" t="str">
        <f>+TagData[[#This Row],[TagName]]&amp;"_"&amp;TagData[[#This Row],[Description]]</f>
        <v>TI37118_ Temp of bed 2 C37101</v>
      </c>
      <c r="E137" cm="1">
        <f t="array" aca="1" ref="E137" ca="1">IF(ISNUMBER(SEARCH(INDIRECT(CELL("address")),TagData[[#This Row],[Combined]])),MAX($E$1:E136)+1,0)</f>
        <v>0</v>
      </c>
      <c r="F137" s="1" t="str">
        <f ca="1">IFERROR(INDEX(TagData[],MATCH(ROWS(F$1:$G136),TagData[Search],0),4),"")</f>
        <v/>
      </c>
    </row>
    <row r="138" spans="1:6" x14ac:dyDescent="0.3">
      <c r="A138">
        <v>342</v>
      </c>
      <c r="B138" s="1" t="s">
        <v>131</v>
      </c>
      <c r="C138" s="1" t="s">
        <v>132</v>
      </c>
      <c r="D138" s="1" t="str">
        <f>+TagData[[#This Row],[TagName]]&amp;"_"&amp;TagData[[#This Row],[Description]]</f>
        <v>PI37108_ Pr of Top of C37101 PSE37101</v>
      </c>
      <c r="E138" cm="1">
        <f t="array" aca="1" ref="E138" ca="1">IF(ISNUMBER(SEARCH(INDIRECT(CELL("address")),TagData[[#This Row],[Combined]])),MAX($E$1:E137)+1,0)</f>
        <v>0</v>
      </c>
      <c r="F138" s="1" t="str">
        <f ca="1">IFERROR(INDEX(TagData[],MATCH(ROWS(F$1:$G137),TagData[Search],0),4),"")</f>
        <v/>
      </c>
    </row>
    <row r="139" spans="1:6" x14ac:dyDescent="0.3">
      <c r="A139">
        <v>338</v>
      </c>
      <c r="B139" s="1" t="s">
        <v>133</v>
      </c>
      <c r="C139" s="1" t="s">
        <v>134</v>
      </c>
      <c r="D139" s="1" t="str">
        <f>+TagData[[#This Row],[TagName]]&amp;"_"&amp;TagData[[#This Row],[Description]]</f>
        <v>PI37109_Pr between bed 1 and 2 in C37101</v>
      </c>
      <c r="E139" cm="1">
        <f t="array" aca="1" ref="E139" ca="1">IF(ISNUMBER(SEARCH(INDIRECT(CELL("address")),TagData[[#This Row],[Combined]])),MAX($E$1:E138)+1,0)</f>
        <v>0</v>
      </c>
      <c r="F139" s="1" t="str">
        <f ca="1">IFERROR(INDEX(TagData[],MATCH(ROWS(F$1:$G138),TagData[Search],0),4),"")</f>
        <v/>
      </c>
    </row>
    <row r="140" spans="1:6" x14ac:dyDescent="0.3">
      <c r="A140">
        <v>346</v>
      </c>
      <c r="B140" s="1" t="s">
        <v>135</v>
      </c>
      <c r="C140" s="1" t="s">
        <v>136</v>
      </c>
      <c r="D140" s="1" t="str">
        <f>+TagData[[#This Row],[TagName]]&amp;"_"&amp;TagData[[#This Row],[Description]]</f>
        <v>JI37182B_Current of recovered ODCB Pump P37113B</v>
      </c>
      <c r="E140" cm="1">
        <f t="array" aca="1" ref="E140" ca="1">IF(ISNUMBER(SEARCH(INDIRECT(CELL("address")),TagData[[#This Row],[Combined]])),MAX($E$1:E139)+1,0)</f>
        <v>0</v>
      </c>
      <c r="F140" s="1" t="str">
        <f ca="1">IFERROR(INDEX(TagData[],MATCH(ROWS(F$1:$G139),TagData[Search],0),4),"")</f>
        <v/>
      </c>
    </row>
    <row r="141" spans="1:6" x14ac:dyDescent="0.3">
      <c r="A141">
        <v>347</v>
      </c>
      <c r="B141" s="1" t="s">
        <v>133</v>
      </c>
      <c r="C141" s="1" t="s">
        <v>134</v>
      </c>
      <c r="D141" s="1" t="str">
        <f>+TagData[[#This Row],[TagName]]&amp;"_"&amp;TagData[[#This Row],[Description]]</f>
        <v>PI37109_Pr between bed 1 and 2 in C37101</v>
      </c>
      <c r="E141" cm="1">
        <f t="array" aca="1" ref="E141" ca="1">IF(ISNUMBER(SEARCH(INDIRECT(CELL("address")),TagData[[#This Row],[Combined]])),MAX($E$1:E140)+1,0)</f>
        <v>0</v>
      </c>
      <c r="F141" s="1" t="str">
        <f ca="1">IFERROR(INDEX(TagData[],MATCH(ROWS(F$1:$G140),TagData[Search],0),4),"")</f>
        <v/>
      </c>
    </row>
    <row r="142" spans="1:6" x14ac:dyDescent="0.3">
      <c r="A142">
        <v>352</v>
      </c>
      <c r="B142" s="1" t="s">
        <v>135</v>
      </c>
      <c r="C142" s="1" t="s">
        <v>136</v>
      </c>
      <c r="D142" s="1" t="str">
        <f>+TagData[[#This Row],[TagName]]&amp;"_"&amp;TagData[[#This Row],[Description]]</f>
        <v>JI37182B_Current of recovered ODCB Pump P37113B</v>
      </c>
      <c r="E142" cm="1">
        <f t="array" aca="1" ref="E142" ca="1">IF(ISNUMBER(SEARCH(INDIRECT(CELL("address")),TagData[[#This Row],[Combined]])),MAX($E$1:E141)+1,0)</f>
        <v>0</v>
      </c>
      <c r="F142" s="1" t="str">
        <f ca="1">IFERROR(INDEX(TagData[],MATCH(ROWS(F$1:$G141),TagData[Search],0),4),"")</f>
        <v/>
      </c>
    </row>
    <row r="143" spans="1:6" x14ac:dyDescent="0.3">
      <c r="A143">
        <v>351</v>
      </c>
      <c r="B143" s="1" t="s">
        <v>137</v>
      </c>
      <c r="C143" s="1" t="s">
        <v>138</v>
      </c>
      <c r="D143" s="1" t="str">
        <f>+TagData[[#This Row],[TagName]]&amp;"_"&amp;TagData[[#This Row],[Description]]</f>
        <v>PI37111_ Pressure of Overhead  C37111</v>
      </c>
      <c r="E143" cm="1">
        <f t="array" aca="1" ref="E143" ca="1">IF(ISNUMBER(SEARCH(INDIRECT(CELL("address")),TagData[[#This Row],[Combined]])),MAX($E$1:E142)+1,0)</f>
        <v>0</v>
      </c>
      <c r="F143" s="1" t="str">
        <f ca="1">IFERROR(INDEX(TagData[],MATCH(ROWS(F$1:$G142),TagData[Search],0),4),"")</f>
        <v/>
      </c>
    </row>
    <row r="144" spans="1:6" x14ac:dyDescent="0.3">
      <c r="A144">
        <v>357</v>
      </c>
      <c r="B144" s="1" t="s">
        <v>137</v>
      </c>
      <c r="C144" s="1" t="s">
        <v>138</v>
      </c>
      <c r="D144" s="1" t="str">
        <f>+TagData[[#This Row],[TagName]]&amp;"_"&amp;TagData[[#This Row],[Description]]</f>
        <v>PI37111_ Pressure of Overhead  C37111</v>
      </c>
      <c r="E144" cm="1">
        <f t="array" aca="1" ref="E144" ca="1">IF(ISNUMBER(SEARCH(INDIRECT(CELL("address")),TagData[[#This Row],[Combined]])),MAX($E$1:E143)+1,0)</f>
        <v>0</v>
      </c>
      <c r="F144" s="1" t="str">
        <f ca="1">IFERROR(INDEX(TagData[],MATCH(ROWS(F$1:$G143),TagData[Search],0),4),"")</f>
        <v/>
      </c>
    </row>
    <row r="145" spans="1:6" x14ac:dyDescent="0.3">
      <c r="A145">
        <v>356</v>
      </c>
      <c r="B145" s="1" t="s">
        <v>139</v>
      </c>
      <c r="C145" s="1" t="s">
        <v>140</v>
      </c>
      <c r="D145" s="1" t="str">
        <f>+TagData[[#This Row],[TagName]]&amp;"_"&amp;TagData[[#This Row],[Description]]</f>
        <v>TI37167_ Temp of Primary Reflux Pump P37107</v>
      </c>
      <c r="E145" cm="1">
        <f t="array" aca="1" ref="E145" ca="1">IF(ISNUMBER(SEARCH(INDIRECT(CELL("address")),TagData[[#This Row],[Combined]])),MAX($E$1:E144)+1,0)</f>
        <v>0</v>
      </c>
      <c r="F145" s="1" t="str">
        <f ca="1">IFERROR(INDEX(TagData[],MATCH(ROWS(F$1:$G144),TagData[Search],0),4),"")</f>
        <v/>
      </c>
    </row>
    <row r="146" spans="1:6" x14ac:dyDescent="0.3">
      <c r="A146">
        <v>361</v>
      </c>
      <c r="B146" s="1" t="s">
        <v>141</v>
      </c>
      <c r="C146" s="1" t="s">
        <v>142</v>
      </c>
      <c r="D146" s="1" t="str">
        <f>+TagData[[#This Row],[TagName]]&amp;"_"&amp;TagData[[#This Row],[Description]]</f>
        <v>LIC37172_Level Control of Reflux Tank T37106</v>
      </c>
      <c r="E146" cm="1">
        <f t="array" aca="1" ref="E146" ca="1">IF(ISNUMBER(SEARCH(INDIRECT(CELL("address")),TagData[[#This Row],[Combined]])),MAX($E$1:E145)+1,0)</f>
        <v>0</v>
      </c>
      <c r="F146" s="1" t="str">
        <f ca="1">IFERROR(INDEX(TagData[],MATCH(ROWS(F$1:$G145),TagData[Search],0),4),"")</f>
        <v/>
      </c>
    </row>
    <row r="147" spans="1:6" x14ac:dyDescent="0.3">
      <c r="A147">
        <v>362</v>
      </c>
      <c r="B147" s="1" t="s">
        <v>139</v>
      </c>
      <c r="C147" s="1" t="s">
        <v>140</v>
      </c>
      <c r="D147" s="1" t="str">
        <f>+TagData[[#This Row],[TagName]]&amp;"_"&amp;TagData[[#This Row],[Description]]</f>
        <v>TI37167_ Temp of Primary Reflux Pump P37107</v>
      </c>
      <c r="E147" cm="1">
        <f t="array" aca="1" ref="E147" ca="1">IF(ISNUMBER(SEARCH(INDIRECT(CELL("address")),TagData[[#This Row],[Combined]])),MAX($E$1:E146)+1,0)</f>
        <v>0</v>
      </c>
      <c r="F147" s="1" t="str">
        <f ca="1">IFERROR(INDEX(TagData[],MATCH(ROWS(F$1:$G146),TagData[Search],0),4),"")</f>
        <v/>
      </c>
    </row>
    <row r="148" spans="1:6" x14ac:dyDescent="0.3">
      <c r="A148">
        <v>367</v>
      </c>
      <c r="B148" s="1" t="s">
        <v>141</v>
      </c>
      <c r="C148" s="1" t="s">
        <v>142</v>
      </c>
      <c r="D148" s="1" t="str">
        <f>+TagData[[#This Row],[TagName]]&amp;"_"&amp;TagData[[#This Row],[Description]]</f>
        <v>LIC37172_Level Control of Reflux Tank T37106</v>
      </c>
      <c r="E148" cm="1">
        <f t="array" aca="1" ref="E148" ca="1">IF(ISNUMBER(SEARCH(INDIRECT(CELL("address")),TagData[[#This Row],[Combined]])),MAX($E$1:E147)+1,0)</f>
        <v>0</v>
      </c>
      <c r="F148" s="1" t="str">
        <f ca="1">IFERROR(INDEX(TagData[],MATCH(ROWS(F$1:$G147),TagData[Search],0),4),"")</f>
        <v/>
      </c>
    </row>
    <row r="149" spans="1:6" x14ac:dyDescent="0.3">
      <c r="A149">
        <v>366</v>
      </c>
      <c r="B149" s="1" t="s">
        <v>143</v>
      </c>
      <c r="C149" s="1" t="s">
        <v>144</v>
      </c>
      <c r="D149" s="1" t="str">
        <f>+TagData[[#This Row],[TagName]]&amp;"_"&amp;TagData[[#This Row],[Description]]</f>
        <v xml:space="preserve">TI37170_ Temp of WH from E37104 </v>
      </c>
      <c r="E149" cm="1">
        <f t="array" aca="1" ref="E149" ca="1">IF(ISNUMBER(SEARCH(INDIRECT(CELL("address")),TagData[[#This Row],[Combined]])),MAX($E$1:E148)+1,0)</f>
        <v>0</v>
      </c>
      <c r="F149" s="1" t="str">
        <f ca="1">IFERROR(INDEX(TagData[],MATCH(ROWS(F$1:$G148),TagData[Search],0),4),"")</f>
        <v/>
      </c>
    </row>
    <row r="150" spans="1:6" x14ac:dyDescent="0.3">
      <c r="A150">
        <v>372</v>
      </c>
      <c r="B150" s="1" t="s">
        <v>143</v>
      </c>
      <c r="C150" s="1" t="s">
        <v>144</v>
      </c>
      <c r="D150" s="1" t="str">
        <f>+TagData[[#This Row],[TagName]]&amp;"_"&amp;TagData[[#This Row],[Description]]</f>
        <v xml:space="preserve">TI37170_ Temp of WH from E37104 </v>
      </c>
      <c r="E150" cm="1">
        <f t="array" aca="1" ref="E150" ca="1">IF(ISNUMBER(SEARCH(INDIRECT(CELL("address")),TagData[[#This Row],[Combined]])),MAX($E$1:E149)+1,0)</f>
        <v>0</v>
      </c>
      <c r="F150" s="1" t="str">
        <f ca="1">IFERROR(INDEX(TagData[],MATCH(ROWS(F$1:$G149),TagData[Search],0),4),"")</f>
        <v/>
      </c>
    </row>
    <row r="151" spans="1:6" x14ac:dyDescent="0.3">
      <c r="A151">
        <v>371</v>
      </c>
      <c r="B151" s="1" t="s">
        <v>145</v>
      </c>
      <c r="C151" s="1" t="s">
        <v>146</v>
      </c>
      <c r="D151" s="1" t="str">
        <f>+TagData[[#This Row],[TagName]]&amp;"_"&amp;TagData[[#This Row],[Description]]</f>
        <v>TIC37169_ Temp of Primary Vent E37105 Bottom</v>
      </c>
      <c r="E151" cm="1">
        <f t="array" aca="1" ref="E151" ca="1">IF(ISNUMBER(SEARCH(INDIRECT(CELL("address")),TagData[[#This Row],[Combined]])),MAX($E$1:E150)+1,0)</f>
        <v>0</v>
      </c>
      <c r="F151" s="1" t="str">
        <f ca="1">IFERROR(INDEX(TagData[],MATCH(ROWS(F$1:$G150),TagData[Search],0),4),"")</f>
        <v/>
      </c>
    </row>
    <row r="152" spans="1:6" x14ac:dyDescent="0.3">
      <c r="A152">
        <v>376</v>
      </c>
      <c r="B152" s="1" t="s">
        <v>147</v>
      </c>
      <c r="C152" s="1" t="s">
        <v>148</v>
      </c>
      <c r="D152" s="1" t="str">
        <f>+TagData[[#This Row],[TagName]]&amp;"_"&amp;TagData[[#This Row],[Description]]</f>
        <v>TI37191_ Temp of WCHR from E37105</v>
      </c>
      <c r="E152" cm="1">
        <f t="array" aca="1" ref="E152" ca="1">IF(ISNUMBER(SEARCH(INDIRECT(CELL("address")),TagData[[#This Row],[Combined]])),MAX($E$1:E151)+1,0)</f>
        <v>0</v>
      </c>
      <c r="F152" s="1" t="str">
        <f ca="1">IFERROR(INDEX(TagData[],MATCH(ROWS(F$1:$G151),TagData[Search],0),4),"")</f>
        <v/>
      </c>
    </row>
    <row r="153" spans="1:6" x14ac:dyDescent="0.3">
      <c r="A153">
        <v>377</v>
      </c>
      <c r="B153" s="1" t="s">
        <v>145</v>
      </c>
      <c r="C153" s="1" t="s">
        <v>146</v>
      </c>
      <c r="D153" s="1" t="str">
        <f>+TagData[[#This Row],[TagName]]&amp;"_"&amp;TagData[[#This Row],[Description]]</f>
        <v>TIC37169_ Temp of Primary Vent E37105 Bottom</v>
      </c>
      <c r="E153" cm="1">
        <f t="array" aca="1" ref="E153" ca="1">IF(ISNUMBER(SEARCH(INDIRECT(CELL("address")),TagData[[#This Row],[Combined]])),MAX($E$1:E152)+1,0)</f>
        <v>0</v>
      </c>
      <c r="F153" s="1" t="str">
        <f ca="1">IFERROR(INDEX(TagData[],MATCH(ROWS(F$1:$G152),TagData[Search],0),4),"")</f>
        <v/>
      </c>
    </row>
    <row r="154" spans="1:6" x14ac:dyDescent="0.3">
      <c r="A154">
        <v>382</v>
      </c>
      <c r="B154" s="1" t="s">
        <v>147</v>
      </c>
      <c r="C154" s="1" t="s">
        <v>148</v>
      </c>
      <c r="D154" s="1" t="str">
        <f>+TagData[[#This Row],[TagName]]&amp;"_"&amp;TagData[[#This Row],[Description]]</f>
        <v>TI37191_ Temp of WCHR from E37105</v>
      </c>
      <c r="E154" cm="1">
        <f t="array" aca="1" ref="E154" ca="1">IF(ISNUMBER(SEARCH(INDIRECT(CELL("address")),TagData[[#This Row],[Combined]])),MAX($E$1:E153)+1,0)</f>
        <v>0</v>
      </c>
      <c r="F154" s="1" t="str">
        <f ca="1">IFERROR(INDEX(TagData[],MATCH(ROWS(F$1:$G153),TagData[Search],0),4),"")</f>
        <v/>
      </c>
    </row>
    <row r="155" spans="1:6" x14ac:dyDescent="0.3">
      <c r="A155">
        <v>381</v>
      </c>
      <c r="B155" s="1" t="s">
        <v>149</v>
      </c>
      <c r="C155" s="1" t="s">
        <v>150</v>
      </c>
      <c r="D155" s="1" t="str">
        <f>+TagData[[#This Row],[TagName]]&amp;"_"&amp;TagData[[#This Row],[Description]]</f>
        <v>TIC37171_ Temp of Primary Condenser E37104</v>
      </c>
      <c r="E155" cm="1">
        <f t="array" aca="1" ref="E155" ca="1">IF(ISNUMBER(SEARCH(INDIRECT(CELL("address")),TagData[[#This Row],[Combined]])),MAX($E$1:E154)+1,0)</f>
        <v>0</v>
      </c>
      <c r="F155" s="1" t="str">
        <f ca="1">IFERROR(INDEX(TagData[],MATCH(ROWS(F$1:$G154),TagData[Search],0),4),"")</f>
        <v/>
      </c>
    </row>
    <row r="156" spans="1:6" x14ac:dyDescent="0.3">
      <c r="A156">
        <v>386</v>
      </c>
      <c r="B156" s="1" t="s">
        <v>149</v>
      </c>
      <c r="C156" s="1" t="s">
        <v>151</v>
      </c>
      <c r="D156" s="1" t="str">
        <f>+TagData[[#This Row],[TagName]]&amp;"_"&amp;TagData[[#This Row],[Description]]</f>
        <v>TIC37171_ Temp Control For E37104 Bottom</v>
      </c>
      <c r="E156" cm="1">
        <f t="array" aca="1" ref="E156" ca="1">IF(ISNUMBER(SEARCH(INDIRECT(CELL("address")),TagData[[#This Row],[Combined]])),MAX($E$1:E155)+1,0)</f>
        <v>0</v>
      </c>
      <c r="F156" s="1" t="str">
        <f ca="1">IFERROR(INDEX(TagData[],MATCH(ROWS(F$1:$G155),TagData[Search],0),4),"")</f>
        <v/>
      </c>
    </row>
    <row r="157" spans="1:6" x14ac:dyDescent="0.3">
      <c r="A157">
        <v>387</v>
      </c>
      <c r="B157" s="1" t="s">
        <v>149</v>
      </c>
      <c r="C157" s="1" t="s">
        <v>150</v>
      </c>
      <c r="D157" s="1" t="str">
        <f>+TagData[[#This Row],[TagName]]&amp;"_"&amp;TagData[[#This Row],[Description]]</f>
        <v>TIC37171_ Temp of Primary Condenser E37104</v>
      </c>
      <c r="E157" cm="1">
        <f t="array" aca="1" ref="E157" ca="1">IF(ISNUMBER(SEARCH(INDIRECT(CELL("address")),TagData[[#This Row],[Combined]])),MAX($E$1:E156)+1,0)</f>
        <v>0</v>
      </c>
      <c r="F157" s="1" t="str">
        <f ca="1">IFERROR(INDEX(TagData[],MATCH(ROWS(F$1:$G156),TagData[Search],0),4),"")</f>
        <v/>
      </c>
    </row>
    <row r="158" spans="1:6" x14ac:dyDescent="0.3">
      <c r="A158">
        <v>391</v>
      </c>
      <c r="B158" s="1" t="s">
        <v>152</v>
      </c>
      <c r="C158" s="1" t="s">
        <v>153</v>
      </c>
      <c r="D158" s="1" t="str">
        <f>+TagData[[#This Row],[TagName]]&amp;"_"&amp;TagData[[#This Row],[Description]]</f>
        <v>TI37162_ Temp of Vent Condensate P37111</v>
      </c>
      <c r="E158" cm="1">
        <f t="array" aca="1" ref="E158" ca="1">IF(ISNUMBER(SEARCH(INDIRECT(CELL("address")),TagData[[#This Row],[Combined]])),MAX($E$1:E157)+1,0)</f>
        <v>0</v>
      </c>
      <c r="F158" s="1" t="str">
        <f ca="1">IFERROR(INDEX(TagData[],MATCH(ROWS(F$1:$G157),TagData[Search],0),4),"")</f>
        <v/>
      </c>
    </row>
    <row r="159" spans="1:6" x14ac:dyDescent="0.3">
      <c r="A159">
        <v>392</v>
      </c>
      <c r="B159" s="1" t="s">
        <v>149</v>
      </c>
      <c r="C159" s="1" t="s">
        <v>151</v>
      </c>
      <c r="D159" s="1" t="str">
        <f>+TagData[[#This Row],[TagName]]&amp;"_"&amp;TagData[[#This Row],[Description]]</f>
        <v>TIC37171_ Temp Control For E37104 Bottom</v>
      </c>
      <c r="E159" cm="1">
        <f t="array" aca="1" ref="E159" ca="1">IF(ISNUMBER(SEARCH(INDIRECT(CELL("address")),TagData[[#This Row],[Combined]])),MAX($E$1:E158)+1,0)</f>
        <v>0</v>
      </c>
      <c r="F159" s="1" t="str">
        <f ca="1">IFERROR(INDEX(TagData[],MATCH(ROWS(F$1:$G158),TagData[Search],0),4),"")</f>
        <v/>
      </c>
    </row>
    <row r="160" spans="1:6" x14ac:dyDescent="0.3">
      <c r="A160">
        <v>396</v>
      </c>
      <c r="B160" s="1" t="s">
        <v>154</v>
      </c>
      <c r="C160" s="1" t="s">
        <v>155</v>
      </c>
      <c r="D160" s="1" t="str">
        <f>+TagData[[#This Row],[TagName]]&amp;"_"&amp;TagData[[#This Row],[Description]]</f>
        <v>FI37150_ Flow From T37110 to C36201</v>
      </c>
      <c r="E160" cm="1">
        <f t="array" aca="1" ref="E160" ca="1">IF(ISNUMBER(SEARCH(INDIRECT(CELL("address")),TagData[[#This Row],[Combined]])),MAX($E$1:E159)+1,0)</f>
        <v>0</v>
      </c>
      <c r="F160" s="1" t="str">
        <f ca="1">IFERROR(INDEX(TagData[],MATCH(ROWS(F$1:$G159),TagData[Search],0),4),"")</f>
        <v/>
      </c>
    </row>
    <row r="161" spans="1:6" x14ac:dyDescent="0.3">
      <c r="A161">
        <v>397</v>
      </c>
      <c r="B161" s="1" t="s">
        <v>152</v>
      </c>
      <c r="C161" s="1" t="s">
        <v>153</v>
      </c>
      <c r="D161" s="1" t="str">
        <f>+TagData[[#This Row],[TagName]]&amp;"_"&amp;TagData[[#This Row],[Description]]</f>
        <v>TI37162_ Temp of Vent Condensate P37111</v>
      </c>
      <c r="E161" cm="1">
        <f t="array" aca="1" ref="E161" ca="1">IF(ISNUMBER(SEARCH(INDIRECT(CELL("address")),TagData[[#This Row],[Combined]])),MAX($E$1:E160)+1,0)</f>
        <v>0</v>
      </c>
      <c r="F161" s="1" t="str">
        <f ca="1">IFERROR(INDEX(TagData[],MATCH(ROWS(F$1:$G160),TagData[Search],0),4),"")</f>
        <v/>
      </c>
    </row>
    <row r="162" spans="1:6" x14ac:dyDescent="0.3">
      <c r="A162">
        <v>402</v>
      </c>
      <c r="B162" s="1" t="s">
        <v>154</v>
      </c>
      <c r="C162" s="1" t="s">
        <v>155</v>
      </c>
      <c r="D162" s="1" t="str">
        <f>+TagData[[#This Row],[TagName]]&amp;"_"&amp;TagData[[#This Row],[Description]]</f>
        <v>FI37150_ Flow From T37110 to C36201</v>
      </c>
      <c r="E162" cm="1">
        <f t="array" aca="1" ref="E162" ca="1">IF(ISNUMBER(SEARCH(INDIRECT(CELL("address")),TagData[[#This Row],[Combined]])),MAX($E$1:E161)+1,0)</f>
        <v>0</v>
      </c>
      <c r="F162" s="1" t="str">
        <f ca="1">IFERROR(INDEX(TagData[],MATCH(ROWS(F$1:$G161),TagData[Search],0),4),"")</f>
        <v/>
      </c>
    </row>
    <row r="163" spans="1:6" x14ac:dyDescent="0.3">
      <c r="A163">
        <v>401</v>
      </c>
      <c r="B163" s="1" t="s">
        <v>156</v>
      </c>
      <c r="C163" s="1" t="s">
        <v>157</v>
      </c>
      <c r="D163" s="1" t="str">
        <f>+TagData[[#This Row],[TagName]]&amp;"_"&amp;TagData[[#This Row],[Description]]</f>
        <v>FIC37163_ Flow From P37107 to C36201</v>
      </c>
      <c r="E163" cm="1">
        <f t="array" aca="1" ref="E163" ca="1">IF(ISNUMBER(SEARCH(INDIRECT(CELL("address")),TagData[[#This Row],[Combined]])),MAX($E$1:E162)+1,0)</f>
        <v>0</v>
      </c>
      <c r="F163" s="1" t="str">
        <f ca="1">IFERROR(INDEX(TagData[],MATCH(ROWS(F$1:$G162),TagData[Search],0),4),"")</f>
        <v/>
      </c>
    </row>
    <row r="164" spans="1:6" x14ac:dyDescent="0.3">
      <c r="A164">
        <v>406</v>
      </c>
      <c r="B164" s="1" t="s">
        <v>156</v>
      </c>
      <c r="C164" s="1" t="s">
        <v>158</v>
      </c>
      <c r="D164" s="1" t="str">
        <f>+TagData[[#This Row],[TagName]]&amp;"_"&amp;TagData[[#This Row],[Description]]</f>
        <v>FIC37163_ Flow Control for P37107 to C36201</v>
      </c>
      <c r="E164" cm="1">
        <f t="array" aca="1" ref="E164" ca="1">IF(ISNUMBER(SEARCH(INDIRECT(CELL("address")),TagData[[#This Row],[Combined]])),MAX($E$1:E163)+1,0)</f>
        <v>0</v>
      </c>
      <c r="F164" s="1" t="str">
        <f ca="1">IFERROR(INDEX(TagData[],MATCH(ROWS(F$1:$G163),TagData[Search],0),4),"")</f>
        <v/>
      </c>
    </row>
    <row r="165" spans="1:6" x14ac:dyDescent="0.3">
      <c r="A165">
        <v>407</v>
      </c>
      <c r="B165" s="1" t="s">
        <v>156</v>
      </c>
      <c r="C165" s="1" t="s">
        <v>157</v>
      </c>
      <c r="D165" s="1" t="str">
        <f>+TagData[[#This Row],[TagName]]&amp;"_"&amp;TagData[[#This Row],[Description]]</f>
        <v>FIC37163_ Flow From P37107 to C36201</v>
      </c>
      <c r="E165" cm="1">
        <f t="array" aca="1" ref="E165" ca="1">IF(ISNUMBER(SEARCH(INDIRECT(CELL("address")),TagData[[#This Row],[Combined]])),MAX($E$1:E164)+1,0)</f>
        <v>0</v>
      </c>
      <c r="F165" s="1" t="str">
        <f ca="1">IFERROR(INDEX(TagData[],MATCH(ROWS(F$1:$G164),TagData[Search],0),4),"")</f>
        <v/>
      </c>
    </row>
    <row r="166" spans="1:6" x14ac:dyDescent="0.3">
      <c r="A166">
        <v>412</v>
      </c>
      <c r="B166" s="1" t="s">
        <v>156</v>
      </c>
      <c r="C166" s="1" t="s">
        <v>158</v>
      </c>
      <c r="D166" s="1" t="str">
        <f>+TagData[[#This Row],[TagName]]&amp;"_"&amp;TagData[[#This Row],[Description]]</f>
        <v>FIC37163_ Flow Control for P37107 to C36201</v>
      </c>
      <c r="E166" cm="1">
        <f t="array" aca="1" ref="E166" ca="1">IF(ISNUMBER(SEARCH(INDIRECT(CELL("address")),TagData[[#This Row],[Combined]])),MAX($E$1:E165)+1,0)</f>
        <v>0</v>
      </c>
      <c r="F166" s="1" t="str">
        <f ca="1">IFERROR(INDEX(TagData[],MATCH(ROWS(F$1:$G165),TagData[Search],0),4),"")</f>
        <v/>
      </c>
    </row>
    <row r="167" spans="1:6" x14ac:dyDescent="0.3">
      <c r="A167">
        <v>411</v>
      </c>
      <c r="B167" s="1" t="s">
        <v>159</v>
      </c>
      <c r="C167" s="1" t="s">
        <v>160</v>
      </c>
      <c r="D167" s="1" t="str">
        <f>+TagData[[#This Row],[TagName]]&amp;"_"&amp;TagData[[#This Row],[Description]]</f>
        <v>LIC37160_Level of Vent Condensate T37110</v>
      </c>
      <c r="E167" cm="1">
        <f t="array" aca="1" ref="E167" ca="1">IF(ISNUMBER(SEARCH(INDIRECT(CELL("address")),TagData[[#This Row],[Combined]])),MAX($E$1:E166)+1,0)</f>
        <v>0</v>
      </c>
      <c r="F167" s="1" t="str">
        <f ca="1">IFERROR(INDEX(TagData[],MATCH(ROWS(F$1:$G166),TagData[Search],0),4),"")</f>
        <v/>
      </c>
    </row>
    <row r="168" spans="1:6" x14ac:dyDescent="0.3">
      <c r="A168">
        <v>416</v>
      </c>
      <c r="B168" s="1" t="s">
        <v>159</v>
      </c>
      <c r="C168" s="1" t="s">
        <v>161</v>
      </c>
      <c r="D168" s="1" t="str">
        <f>+TagData[[#This Row],[TagName]]&amp;"_"&amp;TagData[[#This Row],[Description]]</f>
        <v>LIC37160_ Level Control of T37110</v>
      </c>
      <c r="E168" cm="1">
        <f t="array" aca="1" ref="E168" ca="1">IF(ISNUMBER(SEARCH(INDIRECT(CELL("address")),TagData[[#This Row],[Combined]])),MAX($E$1:E167)+1,0)</f>
        <v>0</v>
      </c>
      <c r="F168" s="1" t="str">
        <f ca="1">IFERROR(INDEX(TagData[],MATCH(ROWS(F$1:$G167),TagData[Search],0),4),"")</f>
        <v/>
      </c>
    </row>
    <row r="169" spans="1:6" x14ac:dyDescent="0.3">
      <c r="A169">
        <v>417</v>
      </c>
      <c r="B169" s="1" t="s">
        <v>159</v>
      </c>
      <c r="C169" s="1" t="s">
        <v>160</v>
      </c>
      <c r="D169" s="1" t="str">
        <f>+TagData[[#This Row],[TagName]]&amp;"_"&amp;TagData[[#This Row],[Description]]</f>
        <v>LIC37160_Level of Vent Condensate T37110</v>
      </c>
      <c r="E169" cm="1">
        <f t="array" aca="1" ref="E169" ca="1">IF(ISNUMBER(SEARCH(INDIRECT(CELL("address")),TagData[[#This Row],[Combined]])),MAX($E$1:E168)+1,0)</f>
        <v>0</v>
      </c>
      <c r="F169" s="1" t="str">
        <f ca="1">IFERROR(INDEX(TagData[],MATCH(ROWS(F$1:$G168),TagData[Search],0),4),"")</f>
        <v/>
      </c>
    </row>
    <row r="170" spans="1:6" x14ac:dyDescent="0.3">
      <c r="A170">
        <v>422</v>
      </c>
      <c r="B170" s="1" t="s">
        <v>159</v>
      </c>
      <c r="C170" s="1" t="s">
        <v>161</v>
      </c>
      <c r="D170" s="1" t="str">
        <f>+TagData[[#This Row],[TagName]]&amp;"_"&amp;TagData[[#This Row],[Description]]</f>
        <v>LIC37160_ Level Control of T37110</v>
      </c>
      <c r="E170" cm="1">
        <f t="array" aca="1" ref="E170" ca="1">IF(ISNUMBER(SEARCH(INDIRECT(CELL("address")),TagData[[#This Row],[Combined]])),MAX($E$1:E169)+1,0)</f>
        <v>0</v>
      </c>
      <c r="F170" s="1" t="str">
        <f ca="1">IFERROR(INDEX(TagData[],MATCH(ROWS(F$1:$G169),TagData[Search],0),4),"")</f>
        <v/>
      </c>
    </row>
    <row r="171" spans="1:6" x14ac:dyDescent="0.3">
      <c r="A171">
        <v>421</v>
      </c>
      <c r="B171" s="1" t="s">
        <v>162</v>
      </c>
      <c r="C171" s="1" t="s">
        <v>163</v>
      </c>
      <c r="D171" s="1" t="str">
        <f>+TagData[[#This Row],[TagName]]&amp;"_"&amp;TagData[[#This Row],[Description]]</f>
        <v>PI37156_ Pr of Pho Vent Absbr C37109 Top</v>
      </c>
      <c r="E171" cm="1">
        <f t="array" aca="1" ref="E171" ca="1">IF(ISNUMBER(SEARCH(INDIRECT(CELL("address")),TagData[[#This Row],[Combined]])),MAX($E$1:E170)+1,0)</f>
        <v>0</v>
      </c>
      <c r="F171" s="1" t="str">
        <f ca="1">IFERROR(INDEX(TagData[],MATCH(ROWS(F$1:$G170),TagData[Search],0),4),"")</f>
        <v/>
      </c>
    </row>
    <row r="172" spans="1:6" x14ac:dyDescent="0.3">
      <c r="A172">
        <v>427</v>
      </c>
      <c r="B172" s="1" t="s">
        <v>162</v>
      </c>
      <c r="C172" s="1" t="s">
        <v>163</v>
      </c>
      <c r="D172" s="1" t="str">
        <f>+TagData[[#This Row],[TagName]]&amp;"_"&amp;TagData[[#This Row],[Description]]</f>
        <v>PI37156_ Pr of Pho Vent Absbr C37109 Top</v>
      </c>
      <c r="E172" cm="1">
        <f t="array" aca="1" ref="E172" ca="1">IF(ISNUMBER(SEARCH(INDIRECT(CELL("address")),TagData[[#This Row],[Combined]])),MAX($E$1:E171)+1,0)</f>
        <v>0</v>
      </c>
      <c r="F172" s="1" t="str">
        <f ca="1">IFERROR(INDEX(TagData[],MATCH(ROWS(F$1:$G171),TagData[Search],0),4),"")</f>
        <v/>
      </c>
    </row>
    <row r="173" spans="1:6" x14ac:dyDescent="0.3">
      <c r="A173">
        <v>426</v>
      </c>
      <c r="B173" s="1" t="s">
        <v>164</v>
      </c>
      <c r="C173" s="1" t="s">
        <v>165</v>
      </c>
      <c r="D173" s="1" t="str">
        <f>+TagData[[#This Row],[TagName]]&amp;"_"&amp;TagData[[#This Row],[Description]]</f>
        <v>TI37152_ Temp of Pho Vent Absbr C37109</v>
      </c>
      <c r="E173" cm="1">
        <f t="array" aca="1" ref="E173" ca="1">IF(ISNUMBER(SEARCH(INDIRECT(CELL("address")),TagData[[#This Row],[Combined]])),MAX($E$1:E172)+1,0)</f>
        <v>0</v>
      </c>
      <c r="F173" s="1" t="str">
        <f ca="1">IFERROR(INDEX(TagData[],MATCH(ROWS(F$1:$G172),TagData[Search],0),4),"")</f>
        <v/>
      </c>
    </row>
    <row r="174" spans="1:6" x14ac:dyDescent="0.3">
      <c r="A174">
        <v>431</v>
      </c>
      <c r="B174" s="1" t="s">
        <v>166</v>
      </c>
      <c r="C174" s="1" t="s">
        <v>167</v>
      </c>
      <c r="D174" s="1" t="str">
        <f>+TagData[[#This Row],[TagName]]&amp;"_"&amp;TagData[[#This Row],[Description]]</f>
        <v>FIC37151_ Level Control of T37506</v>
      </c>
      <c r="E174" cm="1">
        <f t="array" aca="1" ref="E174" ca="1">IF(ISNUMBER(SEARCH(INDIRECT(CELL("address")),TagData[[#This Row],[Combined]])),MAX($E$1:E173)+1,0)</f>
        <v>0</v>
      </c>
      <c r="F174" s="1" t="str">
        <f ca="1">IFERROR(INDEX(TagData[],MATCH(ROWS(F$1:$G173),TagData[Search],0),4),"")</f>
        <v/>
      </c>
    </row>
    <row r="175" spans="1:6" x14ac:dyDescent="0.3">
      <c r="A175">
        <v>432</v>
      </c>
      <c r="B175" s="1" t="s">
        <v>164</v>
      </c>
      <c r="C175" s="1" t="s">
        <v>165</v>
      </c>
      <c r="D175" s="1" t="str">
        <f>+TagData[[#This Row],[TagName]]&amp;"_"&amp;TagData[[#This Row],[Description]]</f>
        <v>TI37152_ Temp of Pho Vent Absbr C37109</v>
      </c>
      <c r="E175" cm="1">
        <f t="array" aca="1" ref="E175" ca="1">IF(ISNUMBER(SEARCH(INDIRECT(CELL("address")),TagData[[#This Row],[Combined]])),MAX($E$1:E174)+1,0)</f>
        <v>0</v>
      </c>
      <c r="F175" s="1" t="str">
        <f ca="1">IFERROR(INDEX(TagData[],MATCH(ROWS(F$1:$G174),TagData[Search],0),4),"")</f>
        <v/>
      </c>
    </row>
    <row r="176" spans="1:6" x14ac:dyDescent="0.3">
      <c r="A176">
        <v>436</v>
      </c>
      <c r="B176" s="1" t="s">
        <v>166</v>
      </c>
      <c r="C176" s="1" t="s">
        <v>168</v>
      </c>
      <c r="D176" s="1" t="str">
        <f>+TagData[[#This Row],[TagName]]&amp;"_"&amp;TagData[[#This Row],[Description]]</f>
        <v>FIC37151_ Flow Control ODCB to C37109</v>
      </c>
      <c r="E176" cm="1">
        <f t="array" aca="1" ref="E176" ca="1">IF(ISNUMBER(SEARCH(INDIRECT(CELL("address")),TagData[[#This Row],[Combined]])),MAX($E$1:E175)+1,0)</f>
        <v>0</v>
      </c>
      <c r="F176" s="1" t="str">
        <f ca="1">IFERROR(INDEX(TagData[],MATCH(ROWS(F$1:$G175),TagData[Search],0),4),"")</f>
        <v/>
      </c>
    </row>
    <row r="177" spans="1:6" x14ac:dyDescent="0.3">
      <c r="A177">
        <v>437</v>
      </c>
      <c r="B177" s="1" t="s">
        <v>166</v>
      </c>
      <c r="C177" s="1" t="s">
        <v>167</v>
      </c>
      <c r="D177" s="1" t="str">
        <f>+TagData[[#This Row],[TagName]]&amp;"_"&amp;TagData[[#This Row],[Description]]</f>
        <v>FIC37151_ Level Control of T37506</v>
      </c>
      <c r="E177" cm="1">
        <f t="array" aca="1" ref="E177" ca="1">IF(ISNUMBER(SEARCH(INDIRECT(CELL("address")),TagData[[#This Row],[Combined]])),MAX($E$1:E176)+1,0)</f>
        <v>0</v>
      </c>
      <c r="F177" s="1" t="str">
        <f ca="1">IFERROR(INDEX(TagData[],MATCH(ROWS(F$1:$G176),TagData[Search],0),4),"")</f>
        <v/>
      </c>
    </row>
    <row r="178" spans="1:6" x14ac:dyDescent="0.3">
      <c r="A178">
        <v>442</v>
      </c>
      <c r="B178" s="1" t="s">
        <v>166</v>
      </c>
      <c r="C178" s="1" t="s">
        <v>168</v>
      </c>
      <c r="D178" s="1" t="str">
        <f>+TagData[[#This Row],[TagName]]&amp;"_"&amp;TagData[[#This Row],[Description]]</f>
        <v>FIC37151_ Flow Control ODCB to C37109</v>
      </c>
      <c r="E178" cm="1">
        <f t="array" aca="1" ref="E178" ca="1">IF(ISNUMBER(SEARCH(INDIRECT(CELL("address")),TagData[[#This Row],[Combined]])),MAX($E$1:E177)+1,0)</f>
        <v>0</v>
      </c>
      <c r="F178" s="1" t="str">
        <f ca="1">IFERROR(INDEX(TagData[],MATCH(ROWS(F$1:$G177),TagData[Search],0),4),"")</f>
        <v/>
      </c>
    </row>
    <row r="179" spans="1:6" x14ac:dyDescent="0.3">
      <c r="A179">
        <v>438</v>
      </c>
      <c r="B179" s="1" t="s">
        <v>169</v>
      </c>
      <c r="C179" s="1" t="s">
        <v>170</v>
      </c>
      <c r="D179" s="1" t="str">
        <f>+TagData[[#This Row],[TagName]]&amp;"_"&amp;TagData[[#This Row],[Description]]</f>
        <v>PI37153_ Pressure From E37105 to C37109</v>
      </c>
      <c r="E179" cm="1">
        <f t="array" aca="1" ref="E179" ca="1">IF(ISNUMBER(SEARCH(INDIRECT(CELL("address")),TagData[[#This Row],[Combined]])),MAX($E$1:E178)+1,0)</f>
        <v>0</v>
      </c>
      <c r="F179" s="1" t="str">
        <f ca="1">IFERROR(INDEX(TagData[],MATCH(ROWS(F$1:$G178),TagData[Search],0),4),"")</f>
        <v/>
      </c>
    </row>
    <row r="180" spans="1:6" x14ac:dyDescent="0.3">
      <c r="A180">
        <v>447</v>
      </c>
      <c r="B180" s="1" t="s">
        <v>169</v>
      </c>
      <c r="C180" s="1" t="s">
        <v>170</v>
      </c>
      <c r="D180" s="1" t="str">
        <f>+TagData[[#This Row],[TagName]]&amp;"_"&amp;TagData[[#This Row],[Description]]</f>
        <v>PI37153_ Pressure From E37105 to C37109</v>
      </c>
      <c r="E180" cm="1">
        <f t="array" aca="1" ref="E180" ca="1">IF(ISNUMBER(SEARCH(INDIRECT(CELL("address")),TagData[[#This Row],[Combined]])),MAX($E$1:E179)+1,0)</f>
        <v>0</v>
      </c>
      <c r="F180" s="1" t="str">
        <f ca="1">IFERROR(INDEX(TagData[],MATCH(ROWS(F$1:$G179),TagData[Search],0),4),"")</f>
        <v/>
      </c>
    </row>
    <row r="181" spans="1:6" x14ac:dyDescent="0.3">
      <c r="A181">
        <v>446</v>
      </c>
      <c r="B181" s="1" t="s">
        <v>171</v>
      </c>
      <c r="C181" s="1" t="s">
        <v>172</v>
      </c>
      <c r="D181" s="1" t="str">
        <f>+TagData[[#This Row],[TagName]]&amp;"_"&amp;TagData[[#This Row],[Description]]</f>
        <v>TI37154_ Temp of C37109 Bottom O/L</v>
      </c>
      <c r="E181" cm="1">
        <f t="array" aca="1" ref="E181" ca="1">IF(ISNUMBER(SEARCH(INDIRECT(CELL("address")),TagData[[#This Row],[Combined]])),MAX($E$1:E180)+1,0)</f>
        <v>0</v>
      </c>
      <c r="F181" s="1" t="str">
        <f ca="1">IFERROR(INDEX(TagData[],MATCH(ROWS(F$1:$G180),TagData[Search],0),4),"")</f>
        <v/>
      </c>
    </row>
    <row r="182" spans="1:6" x14ac:dyDescent="0.3">
      <c r="A182">
        <v>451</v>
      </c>
      <c r="B182" s="1" t="s">
        <v>173</v>
      </c>
      <c r="C182" s="1" t="s">
        <v>174</v>
      </c>
      <c r="D182" s="1" t="str">
        <f>+TagData[[#This Row],[TagName]]&amp;"_"&amp;TagData[[#This Row],[Description]]</f>
        <v>PIC37181_ Dis Pr of  Recovered ODCB P37113</v>
      </c>
      <c r="E182" cm="1">
        <f t="array" aca="1" ref="E182" ca="1">IF(ISNUMBER(SEARCH(INDIRECT(CELL("address")),TagData[[#This Row],[Combined]])),MAX($E$1:E181)+1,0)</f>
        <v>0</v>
      </c>
      <c r="F182" s="1" t="str">
        <f ca="1">IFERROR(INDEX(TagData[],MATCH(ROWS(F$1:$G181),TagData[Search],0),4),"")</f>
        <v/>
      </c>
    </row>
    <row r="183" spans="1:6" x14ac:dyDescent="0.3">
      <c r="A183">
        <v>452</v>
      </c>
      <c r="B183" s="1" t="s">
        <v>171</v>
      </c>
      <c r="C183" s="1" t="s">
        <v>172</v>
      </c>
      <c r="D183" s="1" t="str">
        <f>+TagData[[#This Row],[TagName]]&amp;"_"&amp;TagData[[#This Row],[Description]]</f>
        <v>TI37154_ Temp of C37109 Bottom O/L</v>
      </c>
      <c r="E183" cm="1">
        <f t="array" aca="1" ref="E183" ca="1">IF(ISNUMBER(SEARCH(INDIRECT(CELL("address")),TagData[[#This Row],[Combined]])),MAX($E$1:E182)+1,0)</f>
        <v>0</v>
      </c>
      <c r="F183" s="1" t="str">
        <f ca="1">IFERROR(INDEX(TagData[],MATCH(ROWS(F$1:$G182),TagData[Search],0),4),"")</f>
        <v/>
      </c>
    </row>
    <row r="184" spans="1:6" x14ac:dyDescent="0.3">
      <c r="A184">
        <v>456</v>
      </c>
      <c r="B184" s="1" t="s">
        <v>173</v>
      </c>
      <c r="C184" s="1" t="s">
        <v>175</v>
      </c>
      <c r="D184" s="1" t="str">
        <f>+TagData[[#This Row],[TagName]]&amp;"_"&amp;TagData[[#This Row],[Description]]</f>
        <v>PIC37181_ Dis Pr Control Recover ODCB P37113</v>
      </c>
      <c r="E184" cm="1">
        <f t="array" aca="1" ref="E184" ca="1">IF(ISNUMBER(SEARCH(INDIRECT(CELL("address")),TagData[[#This Row],[Combined]])),MAX($E$1:E183)+1,0)</f>
        <v>0</v>
      </c>
      <c r="F184" s="1" t="str">
        <f ca="1">IFERROR(INDEX(TagData[],MATCH(ROWS(F$1:$G183),TagData[Search],0),4),"")</f>
        <v/>
      </c>
    </row>
    <row r="185" spans="1:6" x14ac:dyDescent="0.3">
      <c r="A185">
        <v>457</v>
      </c>
      <c r="B185" s="1" t="s">
        <v>173</v>
      </c>
      <c r="C185" s="1" t="s">
        <v>174</v>
      </c>
      <c r="D185" s="1" t="str">
        <f>+TagData[[#This Row],[TagName]]&amp;"_"&amp;TagData[[#This Row],[Description]]</f>
        <v>PIC37181_ Dis Pr of  Recovered ODCB P37113</v>
      </c>
      <c r="E185" cm="1">
        <f t="array" aca="1" ref="E185" ca="1">IF(ISNUMBER(SEARCH(INDIRECT(CELL("address")),TagData[[#This Row],[Combined]])),MAX($E$1:E184)+1,0)</f>
        <v>0</v>
      </c>
      <c r="F185" s="1" t="str">
        <f ca="1">IFERROR(INDEX(TagData[],MATCH(ROWS(F$1:$G184),TagData[Search],0),4),"")</f>
        <v/>
      </c>
    </row>
    <row r="186" spans="1:6" x14ac:dyDescent="0.3">
      <c r="A186">
        <v>462</v>
      </c>
      <c r="B186" s="1" t="s">
        <v>173</v>
      </c>
      <c r="C186" s="1" t="s">
        <v>175</v>
      </c>
      <c r="D186" s="1" t="str">
        <f>+TagData[[#This Row],[TagName]]&amp;"_"&amp;TagData[[#This Row],[Description]]</f>
        <v>PIC37181_ Dis Pr Control Recover ODCB P37113</v>
      </c>
      <c r="E186" cm="1">
        <f t="array" aca="1" ref="E186" ca="1">IF(ISNUMBER(SEARCH(INDIRECT(CELL("address")),TagData[[#This Row],[Combined]])),MAX($E$1:E185)+1,0)</f>
        <v>0</v>
      </c>
      <c r="F186" s="1" t="str">
        <f ca="1">IFERROR(INDEX(TagData[],MATCH(ROWS(F$1:$G185),TagData[Search],0),4),"")</f>
        <v/>
      </c>
    </row>
    <row r="187" spans="1:6" x14ac:dyDescent="0.3">
      <c r="A187">
        <v>461</v>
      </c>
      <c r="B187" s="1" t="s">
        <v>176</v>
      </c>
      <c r="C187" s="1" t="s">
        <v>177</v>
      </c>
      <c r="D187" s="1" t="str">
        <f>+TagData[[#This Row],[TagName]]&amp;"_"&amp;TagData[[#This Row],[Description]]</f>
        <v>TI37188_Temp of Recover ODCB Pump P37113</v>
      </c>
      <c r="E187" cm="1">
        <f t="array" aca="1" ref="E187" ca="1">IF(ISNUMBER(SEARCH(INDIRECT(CELL("address")),TagData[[#This Row],[Combined]])),MAX($E$1:E186)+1,0)</f>
        <v>0</v>
      </c>
      <c r="F187" s="1" t="str">
        <f ca="1">IFERROR(INDEX(TagData[],MATCH(ROWS(F$1:$G186),TagData[Search],0),4),"")</f>
        <v/>
      </c>
    </row>
    <row r="188" spans="1:6" x14ac:dyDescent="0.3">
      <c r="A188">
        <v>466</v>
      </c>
      <c r="B188" s="1" t="s">
        <v>178</v>
      </c>
      <c r="C188" s="1" t="s">
        <v>179</v>
      </c>
      <c r="D188" s="1" t="str">
        <f>+TagData[[#This Row],[TagName]]&amp;"_"&amp;TagData[[#This Row],[Description]]</f>
        <v xml:space="preserve">LIC37176_ Level of ODCB Surge Tank T37112 </v>
      </c>
      <c r="E188" cm="1">
        <f t="array" aca="1" ref="E188" ca="1">IF(ISNUMBER(SEARCH(INDIRECT(CELL("address")),TagData[[#This Row],[Combined]])),MAX($E$1:E187)+1,0)</f>
        <v>0</v>
      </c>
      <c r="F188" s="1" t="str">
        <f ca="1">IFERROR(INDEX(TagData[],MATCH(ROWS(F$1:$G187),TagData[Search],0),4),"")</f>
        <v/>
      </c>
    </row>
    <row r="189" spans="1:6" x14ac:dyDescent="0.3">
      <c r="A189">
        <v>467</v>
      </c>
      <c r="B189" s="1" t="s">
        <v>176</v>
      </c>
      <c r="C189" s="1" t="s">
        <v>177</v>
      </c>
      <c r="D189" s="1" t="str">
        <f>+TagData[[#This Row],[TagName]]&amp;"_"&amp;TagData[[#This Row],[Description]]</f>
        <v>TI37188_Temp of Recover ODCB Pump P37113</v>
      </c>
      <c r="E189" cm="1">
        <f t="array" aca="1" ref="E189" ca="1">IF(ISNUMBER(SEARCH(INDIRECT(CELL("address")),TagData[[#This Row],[Combined]])),MAX($E$1:E188)+1,0)</f>
        <v>0</v>
      </c>
      <c r="F189" s="1" t="str">
        <f ca="1">IFERROR(INDEX(TagData[],MATCH(ROWS(F$1:$G188),TagData[Search],0),4),"")</f>
        <v/>
      </c>
    </row>
    <row r="190" spans="1:6" x14ac:dyDescent="0.3">
      <c r="A190">
        <v>472</v>
      </c>
      <c r="B190" s="1" t="s">
        <v>178</v>
      </c>
      <c r="C190" s="1" t="s">
        <v>179</v>
      </c>
      <c r="D190" s="1" t="str">
        <f>+TagData[[#This Row],[TagName]]&amp;"_"&amp;TagData[[#This Row],[Description]]</f>
        <v xml:space="preserve">LIC37176_ Level of ODCB Surge Tank T37112 </v>
      </c>
      <c r="E190" cm="1">
        <f t="array" aca="1" ref="E190" ca="1">IF(ISNUMBER(SEARCH(INDIRECT(CELL("address")),TagData[[#This Row],[Combined]])),MAX($E$1:E189)+1,0)</f>
        <v>0</v>
      </c>
      <c r="F190" s="1" t="str">
        <f ca="1">IFERROR(INDEX(TagData[],MATCH(ROWS(F$1:$G189),TagData[Search],0),4),"")</f>
        <v/>
      </c>
    </row>
    <row r="191" spans="1:6" x14ac:dyDescent="0.3">
      <c r="A191">
        <v>471</v>
      </c>
      <c r="B191" s="1" t="s">
        <v>178</v>
      </c>
      <c r="C191" s="1" t="s">
        <v>180</v>
      </c>
      <c r="D191" s="1" t="str">
        <f>+TagData[[#This Row],[TagName]]&amp;"_"&amp;TagData[[#This Row],[Description]]</f>
        <v xml:space="preserve">LIC37176_Level Control of Surge Tank T37112 </v>
      </c>
      <c r="E191" cm="1">
        <f t="array" aca="1" ref="E191" ca="1">IF(ISNUMBER(SEARCH(INDIRECT(CELL("address")),TagData[[#This Row],[Combined]])),MAX($E$1:E190)+1,0)</f>
        <v>0</v>
      </c>
      <c r="F191" s="1" t="str">
        <f ca="1">IFERROR(INDEX(TagData[],MATCH(ROWS(F$1:$G190),TagData[Search],0),4),"")</f>
        <v/>
      </c>
    </row>
    <row r="192" spans="1:6" x14ac:dyDescent="0.3">
      <c r="A192">
        <v>476</v>
      </c>
      <c r="B192" s="1" t="s">
        <v>181</v>
      </c>
      <c r="C192" s="1" t="s">
        <v>182</v>
      </c>
      <c r="D192" s="1" t="str">
        <f>+TagData[[#This Row],[TagName]]&amp;"_"&amp;TagData[[#This Row],[Description]]</f>
        <v>FI37177_ Flow of Reflux to C37101_1</v>
      </c>
      <c r="E192" cm="1">
        <f t="array" aca="1" ref="E192" ca="1">IF(ISNUMBER(SEARCH(INDIRECT(CELL("address")),TagData[[#This Row],[Combined]])),MAX($E$1:E191)+1,0)</f>
        <v>0</v>
      </c>
      <c r="F192" s="1" t="str">
        <f ca="1">IFERROR(INDEX(TagData[],MATCH(ROWS(F$1:$G191),TagData[Search],0),4),"")</f>
        <v/>
      </c>
    </row>
    <row r="193" spans="1:6" x14ac:dyDescent="0.3">
      <c r="A193">
        <v>477</v>
      </c>
      <c r="B193" s="1" t="s">
        <v>178</v>
      </c>
      <c r="C193" s="1" t="s">
        <v>180</v>
      </c>
      <c r="D193" s="1" t="str">
        <f>+TagData[[#This Row],[TagName]]&amp;"_"&amp;TagData[[#This Row],[Description]]</f>
        <v xml:space="preserve">LIC37176_Level Control of Surge Tank T37112 </v>
      </c>
      <c r="E193" cm="1">
        <f t="array" aca="1" ref="E193" ca="1">IF(ISNUMBER(SEARCH(INDIRECT(CELL("address")),TagData[[#This Row],[Combined]])),MAX($E$1:E192)+1,0)</f>
        <v>0</v>
      </c>
      <c r="F193" s="1" t="str">
        <f ca="1">IFERROR(INDEX(TagData[],MATCH(ROWS(F$1:$G192),TagData[Search],0),4),"")</f>
        <v/>
      </c>
    </row>
    <row r="194" spans="1:6" x14ac:dyDescent="0.3">
      <c r="A194">
        <v>482</v>
      </c>
      <c r="B194" s="1" t="s">
        <v>181</v>
      </c>
      <c r="C194" s="1" t="s">
        <v>182</v>
      </c>
      <c r="D194" s="1" t="str">
        <f>+TagData[[#This Row],[TagName]]&amp;"_"&amp;TagData[[#This Row],[Description]]</f>
        <v>FI37177_ Flow of Reflux to C37101_1</v>
      </c>
      <c r="E194" cm="1">
        <f t="array" aca="1" ref="E194" ca="1">IF(ISNUMBER(SEARCH(INDIRECT(CELL("address")),TagData[[#This Row],[Combined]])),MAX($E$1:E193)+1,0)</f>
        <v>0</v>
      </c>
      <c r="F194" s="1" t="str">
        <f ca="1">IFERROR(INDEX(TagData[],MATCH(ROWS(F$1:$G193),TagData[Search],0),4),"")</f>
        <v/>
      </c>
    </row>
    <row r="195" spans="1:6" x14ac:dyDescent="0.3">
      <c r="A195">
        <v>481</v>
      </c>
      <c r="B195" s="1" t="s">
        <v>183</v>
      </c>
      <c r="C195" s="1" t="s">
        <v>184</v>
      </c>
      <c r="D195" s="1" t="str">
        <f>+TagData[[#This Row],[TagName]]&amp;"_"&amp;TagData[[#This Row],[Description]]</f>
        <v>TIC37175_ Temp of ODCB frm E37114 to T35305</v>
      </c>
      <c r="E195" cm="1">
        <f t="array" aca="1" ref="E195" ca="1">IF(ISNUMBER(SEARCH(INDIRECT(CELL("address")),TagData[[#This Row],[Combined]])),MAX($E$1:E194)+1,0)</f>
        <v>0</v>
      </c>
      <c r="F195" s="1" t="str">
        <f ca="1">IFERROR(INDEX(TagData[],MATCH(ROWS(F$1:$G194),TagData[Search],0),4),"")</f>
        <v/>
      </c>
    </row>
    <row r="196" spans="1:6" x14ac:dyDescent="0.3">
      <c r="A196">
        <v>486</v>
      </c>
      <c r="B196" s="1" t="s">
        <v>183</v>
      </c>
      <c r="C196" s="1" t="s">
        <v>185</v>
      </c>
      <c r="D196" s="1" t="str">
        <f>+TagData[[#This Row],[TagName]]&amp;"_"&amp;TagData[[#This Row],[Description]]</f>
        <v>TIC37175_ Temp Cntrl of ODCB frm E37114 toT35305</v>
      </c>
      <c r="E196" cm="1">
        <f t="array" aca="1" ref="E196" ca="1">IF(ISNUMBER(SEARCH(INDIRECT(CELL("address")),TagData[[#This Row],[Combined]])),MAX($E$1:E195)+1,0)</f>
        <v>0</v>
      </c>
      <c r="F196" s="1" t="str">
        <f ca="1">IFERROR(INDEX(TagData[],MATCH(ROWS(F$1:$G195),TagData[Search],0),4),"")</f>
        <v/>
      </c>
    </row>
    <row r="197" spans="1:6" x14ac:dyDescent="0.3">
      <c r="A197">
        <v>487</v>
      </c>
      <c r="B197" s="1" t="s">
        <v>183</v>
      </c>
      <c r="C197" s="1" t="s">
        <v>184</v>
      </c>
      <c r="D197" s="1" t="str">
        <f>+TagData[[#This Row],[TagName]]&amp;"_"&amp;TagData[[#This Row],[Description]]</f>
        <v>TIC37175_ Temp of ODCB frm E37114 to T35305</v>
      </c>
      <c r="E197" cm="1">
        <f t="array" aca="1" ref="E197" ca="1">IF(ISNUMBER(SEARCH(INDIRECT(CELL("address")),TagData[[#This Row],[Combined]])),MAX($E$1:E196)+1,0)</f>
        <v>0</v>
      </c>
      <c r="F197" s="1" t="str">
        <f ca="1">IFERROR(INDEX(TagData[],MATCH(ROWS(F$1:$G196),TagData[Search],0),4),"")</f>
        <v/>
      </c>
    </row>
    <row r="198" spans="1:6" x14ac:dyDescent="0.3">
      <c r="A198">
        <v>488</v>
      </c>
      <c r="B198" s="1" t="s">
        <v>186</v>
      </c>
      <c r="C198" s="1" t="s">
        <v>187</v>
      </c>
      <c r="D198" s="1" t="str">
        <f>+TagData[[#This Row],[TagName]]&amp;"_"&amp;TagData[[#This Row],[Description]]</f>
        <v>TI37195_ Temp of WCR from E37114</v>
      </c>
      <c r="E198" cm="1">
        <f t="array" aca="1" ref="E198" ca="1">IF(ISNUMBER(SEARCH(INDIRECT(CELL("address")),TagData[[#This Row],[Combined]])),MAX($E$1:E197)+1,0)</f>
        <v>0</v>
      </c>
      <c r="F198" s="1" t="str">
        <f ca="1">IFERROR(INDEX(TagData[],MATCH(ROWS(F$1:$G197),TagData[Search],0),4),"")</f>
        <v/>
      </c>
    </row>
    <row r="199" spans="1:6" x14ac:dyDescent="0.3">
      <c r="A199">
        <v>492</v>
      </c>
      <c r="B199" s="1" t="s">
        <v>183</v>
      </c>
      <c r="C199" s="1" t="s">
        <v>185</v>
      </c>
      <c r="D199" s="1" t="str">
        <f>+TagData[[#This Row],[TagName]]&amp;"_"&amp;TagData[[#This Row],[Description]]</f>
        <v>TIC37175_ Temp Cntrl of ODCB frm E37114 toT35305</v>
      </c>
      <c r="E199" cm="1">
        <f t="array" aca="1" ref="E199" ca="1">IF(ISNUMBER(SEARCH(INDIRECT(CELL("address")),TagData[[#This Row],[Combined]])),MAX($E$1:E198)+1,0)</f>
        <v>0</v>
      </c>
      <c r="F199" s="1" t="str">
        <f ca="1">IFERROR(INDEX(TagData[],MATCH(ROWS(F$1:$G198),TagData[Search],0),4),"")</f>
        <v/>
      </c>
    </row>
    <row r="200" spans="1:6" x14ac:dyDescent="0.3">
      <c r="A200">
        <v>496</v>
      </c>
      <c r="B200" s="1" t="s">
        <v>188</v>
      </c>
      <c r="C200" s="1" t="s">
        <v>189</v>
      </c>
      <c r="D200" s="1" t="str">
        <f>+TagData[[#This Row],[TagName]]&amp;"_"&amp;TagData[[#This Row],[Description]]</f>
        <v>LIC37247_ Level of SIeam Seperator S37204.01</v>
      </c>
      <c r="E200" cm="1">
        <f t="array" aca="1" ref="E200" ca="1">IF(ISNUMBER(SEARCH(INDIRECT(CELL("address")),TagData[[#This Row],[Combined]])),MAX($E$1:E199)+1,0)</f>
        <v>0</v>
      </c>
      <c r="F200" s="1" t="str">
        <f ca="1">IFERROR(INDEX(TagData[],MATCH(ROWS(F$1:$G199),TagData[Search],0),4),"")</f>
        <v/>
      </c>
    </row>
    <row r="201" spans="1:6" x14ac:dyDescent="0.3">
      <c r="A201">
        <v>497</v>
      </c>
      <c r="B201" s="1" t="s">
        <v>186</v>
      </c>
      <c r="C201" s="1" t="s">
        <v>187</v>
      </c>
      <c r="D201" s="1" t="str">
        <f>+TagData[[#This Row],[TagName]]&amp;"_"&amp;TagData[[#This Row],[Description]]</f>
        <v>TI37195_ Temp of WCR from E37114</v>
      </c>
      <c r="E201" cm="1">
        <f t="array" aca="1" ref="E201" ca="1">IF(ISNUMBER(SEARCH(INDIRECT(CELL("address")),TagData[[#This Row],[Combined]])),MAX($E$1:E200)+1,0)</f>
        <v>0</v>
      </c>
      <c r="F201" s="1" t="str">
        <f ca="1">IFERROR(INDEX(TagData[],MATCH(ROWS(F$1:$G200),TagData[Search],0),4),"")</f>
        <v/>
      </c>
    </row>
    <row r="202" spans="1:6" x14ac:dyDescent="0.3">
      <c r="A202">
        <v>502</v>
      </c>
      <c r="B202" s="1" t="s">
        <v>188</v>
      </c>
      <c r="C202" s="1" t="s">
        <v>189</v>
      </c>
      <c r="D202" s="1" t="str">
        <f>+TagData[[#This Row],[TagName]]&amp;"_"&amp;TagData[[#This Row],[Description]]</f>
        <v>LIC37247_ Level of SIeam Seperator S37204.01</v>
      </c>
      <c r="E202" cm="1">
        <f t="array" aca="1" ref="E202" ca="1">IF(ISNUMBER(SEARCH(INDIRECT(CELL("address")),TagData[[#This Row],[Combined]])),MAX($E$1:E201)+1,0)</f>
        <v>0</v>
      </c>
      <c r="F202" s="1" t="str">
        <f ca="1">IFERROR(INDEX(TagData[],MATCH(ROWS(F$1:$G201),TagData[Search],0),4),"")</f>
        <v/>
      </c>
    </row>
    <row r="203" spans="1:6" x14ac:dyDescent="0.3">
      <c r="A203">
        <v>501</v>
      </c>
      <c r="B203" s="1" t="s">
        <v>188</v>
      </c>
      <c r="C203" s="1" t="s">
        <v>190</v>
      </c>
      <c r="D203" s="1" t="str">
        <f>+TagData[[#This Row],[TagName]]&amp;"_"&amp;TagData[[#This Row],[Description]]</f>
        <v>LIC37247_Level Control ofSIeam SepS37204.01</v>
      </c>
      <c r="E203" cm="1">
        <f t="array" aca="1" ref="E203" ca="1">IF(ISNUMBER(SEARCH(INDIRECT(CELL("address")),TagData[[#This Row],[Combined]])),MAX($E$1:E202)+1,0)</f>
        <v>0</v>
      </c>
      <c r="F203" s="1" t="str">
        <f ca="1">IFERROR(INDEX(TagData[],MATCH(ROWS(F$1:$G202),TagData[Search],0),4),"")</f>
        <v/>
      </c>
    </row>
    <row r="204" spans="1:6" x14ac:dyDescent="0.3">
      <c r="A204">
        <v>507</v>
      </c>
      <c r="B204" s="1" t="s">
        <v>188</v>
      </c>
      <c r="C204" s="1" t="s">
        <v>190</v>
      </c>
      <c r="D204" s="1" t="str">
        <f>+TagData[[#This Row],[TagName]]&amp;"_"&amp;TagData[[#This Row],[Description]]</f>
        <v>LIC37247_Level Control ofSIeam SepS37204.01</v>
      </c>
      <c r="E204" cm="1">
        <f t="array" aca="1" ref="E204" ca="1">IF(ISNUMBER(SEARCH(INDIRECT(CELL("address")),TagData[[#This Row],[Combined]])),MAX($E$1:E203)+1,0)</f>
        <v>0</v>
      </c>
      <c r="F204" s="1" t="str">
        <f ca="1">IFERROR(INDEX(TagData[],MATCH(ROWS(F$1:$G203),TagData[Search],0),4),"")</f>
        <v/>
      </c>
    </row>
    <row r="205" spans="1:6" x14ac:dyDescent="0.3">
      <c r="A205">
        <v>506</v>
      </c>
      <c r="B205" s="1" t="s">
        <v>191</v>
      </c>
      <c r="C205" s="1" t="s">
        <v>192</v>
      </c>
      <c r="D205" s="1" t="str">
        <f>+TagData[[#This Row],[TagName]]&amp;"_"&amp;TagData[[#This Row],[Description]]</f>
        <v>PI37246_Pressure of SIeam Sep. S37204.01 Top</v>
      </c>
      <c r="E205" cm="1">
        <f t="array" aca="1" ref="E205" ca="1">IF(ISNUMBER(SEARCH(INDIRECT(CELL("address")),TagData[[#This Row],[Combined]])),MAX($E$1:E204)+1,0)</f>
        <v>0</v>
      </c>
      <c r="F205" s="1" t="str">
        <f ca="1">IFERROR(INDEX(TagData[],MATCH(ROWS(F$1:$G204),TagData[Search],0),4),"")</f>
        <v/>
      </c>
    </row>
    <row r="206" spans="1:6" x14ac:dyDescent="0.3">
      <c r="A206">
        <v>512</v>
      </c>
      <c r="B206" s="1" t="s">
        <v>191</v>
      </c>
      <c r="C206" s="1" t="s">
        <v>192</v>
      </c>
      <c r="D206" s="1" t="str">
        <f>+TagData[[#This Row],[TagName]]&amp;"_"&amp;TagData[[#This Row],[Description]]</f>
        <v>PI37246_Pressure of SIeam Sep. S37204.01 Top</v>
      </c>
      <c r="E206" cm="1">
        <f t="array" aca="1" ref="E206" ca="1">IF(ISNUMBER(SEARCH(INDIRECT(CELL("address")),TagData[[#This Row],[Combined]])),MAX($E$1:E205)+1,0)</f>
        <v>0</v>
      </c>
      <c r="F206" s="1" t="str">
        <f ca="1">IFERROR(INDEX(TagData[],MATCH(ROWS(F$1:$G205),TagData[Search],0),4),"")</f>
        <v/>
      </c>
    </row>
    <row r="207" spans="1:6" x14ac:dyDescent="0.3">
      <c r="A207">
        <v>511</v>
      </c>
      <c r="B207" s="1" t="s">
        <v>193</v>
      </c>
      <c r="C207" s="1" t="s">
        <v>194</v>
      </c>
      <c r="D207" s="1" t="str">
        <f>+TagData[[#This Row],[TagName]]&amp;"_"&amp;TagData[[#This Row],[Description]]</f>
        <v>TIC37242_ Temp From E37204 to T37206</v>
      </c>
      <c r="E207" cm="1">
        <f t="array" aca="1" ref="E207" ca="1">IF(ISNUMBER(SEARCH(INDIRECT(CELL("address")),TagData[[#This Row],[Combined]])),MAX($E$1:E206)+1,0)</f>
        <v>0</v>
      </c>
      <c r="F207" s="1" t="str">
        <f ca="1">IFERROR(INDEX(TagData[],MATCH(ROWS(F$1:$G206),TagData[Search],0),4),"")</f>
        <v/>
      </c>
    </row>
    <row r="208" spans="1:6" x14ac:dyDescent="0.3">
      <c r="A208">
        <v>516</v>
      </c>
      <c r="B208" s="1" t="s">
        <v>193</v>
      </c>
      <c r="C208" s="1" t="s">
        <v>195</v>
      </c>
      <c r="D208" s="1" t="str">
        <f>+TagData[[#This Row],[TagName]]&amp;"_"&amp;TagData[[#This Row],[Description]]</f>
        <v>TIC37242_ Temp Control From E37204 to T37206</v>
      </c>
      <c r="E208" cm="1">
        <f t="array" aca="1" ref="E208" ca="1">IF(ISNUMBER(SEARCH(INDIRECT(CELL("address")),TagData[[#This Row],[Combined]])),MAX($E$1:E207)+1,0)</f>
        <v>0</v>
      </c>
      <c r="F208" s="1" t="str">
        <f ca="1">IFERROR(INDEX(TagData[],MATCH(ROWS(F$1:$G207),TagData[Search],0),4),"")</f>
        <v/>
      </c>
    </row>
    <row r="209" spans="1:6" x14ac:dyDescent="0.3">
      <c r="A209">
        <v>517</v>
      </c>
      <c r="B209" s="1" t="s">
        <v>193</v>
      </c>
      <c r="C209" s="1" t="s">
        <v>194</v>
      </c>
      <c r="D209" s="1" t="str">
        <f>+TagData[[#This Row],[TagName]]&amp;"_"&amp;TagData[[#This Row],[Description]]</f>
        <v>TIC37242_ Temp From E37204 to T37206</v>
      </c>
      <c r="E209" cm="1">
        <f t="array" aca="1" ref="E209" ca="1">IF(ISNUMBER(SEARCH(INDIRECT(CELL("address")),TagData[[#This Row],[Combined]])),MAX($E$1:E208)+1,0)</f>
        <v>0</v>
      </c>
      <c r="F209" s="1" t="str">
        <f ca="1">IFERROR(INDEX(TagData[],MATCH(ROWS(F$1:$G208),TagData[Search],0),4),"")</f>
        <v/>
      </c>
    </row>
    <row r="210" spans="1:6" x14ac:dyDescent="0.3">
      <c r="A210">
        <v>521</v>
      </c>
      <c r="B210" s="1" t="s">
        <v>196</v>
      </c>
      <c r="C210" s="1" t="s">
        <v>197</v>
      </c>
      <c r="D210" s="1" t="str">
        <f>+TagData[[#This Row],[TagName]]&amp;"_"&amp;TagData[[#This Row],[Description]]</f>
        <v>PI37619B_ Pressure of top of bed C37611</v>
      </c>
      <c r="E210" cm="1">
        <f t="array" aca="1" ref="E210" ca="1">IF(ISNUMBER(SEARCH(INDIRECT(CELL("address")),TagData[[#This Row],[Combined]])),MAX($E$1:E209)+1,0)</f>
        <v>0</v>
      </c>
      <c r="F210" s="1" t="str">
        <f ca="1">IFERROR(INDEX(TagData[],MATCH(ROWS(F$1:$G209),TagData[Search],0),4),"")</f>
        <v/>
      </c>
    </row>
    <row r="211" spans="1:6" x14ac:dyDescent="0.3">
      <c r="A211">
        <v>522</v>
      </c>
      <c r="B211" s="1" t="s">
        <v>193</v>
      </c>
      <c r="C211" s="1" t="s">
        <v>195</v>
      </c>
      <c r="D211" s="1" t="str">
        <f>+TagData[[#This Row],[TagName]]&amp;"_"&amp;TagData[[#This Row],[Description]]</f>
        <v>TIC37242_ Temp Control From E37204 to T37206</v>
      </c>
      <c r="E211" cm="1">
        <f t="array" aca="1" ref="E211" ca="1">IF(ISNUMBER(SEARCH(INDIRECT(CELL("address")),TagData[[#This Row],[Combined]])),MAX($E$1:E210)+1,0)</f>
        <v>0</v>
      </c>
      <c r="F211" s="1" t="str">
        <f ca="1">IFERROR(INDEX(TagData[],MATCH(ROWS(F$1:$G210),TagData[Search],0),4),"")</f>
        <v/>
      </c>
    </row>
    <row r="212" spans="1:6" x14ac:dyDescent="0.3">
      <c r="A212">
        <v>526</v>
      </c>
      <c r="B212" s="1" t="s">
        <v>198</v>
      </c>
      <c r="C212" s="1" t="s">
        <v>199</v>
      </c>
      <c r="D212" s="1" t="str">
        <f>+TagData[[#This Row],[TagName]]&amp;"_"&amp;TagData[[#This Row],[Description]]</f>
        <v>JI37901A_Current of Pri Vacuum Pump B37901A</v>
      </c>
      <c r="E212" cm="1">
        <f t="array" aca="1" ref="E212" ca="1">IF(ISNUMBER(SEARCH(INDIRECT(CELL("address")),TagData[[#This Row],[Combined]])),MAX($E$1:E211)+1,0)</f>
        <v>0</v>
      </c>
      <c r="F212" s="1" t="str">
        <f ca="1">IFERROR(INDEX(TagData[],MATCH(ROWS(F$1:$G211),TagData[Search],0),4),"")</f>
        <v/>
      </c>
    </row>
    <row r="213" spans="1:6" x14ac:dyDescent="0.3">
      <c r="A213">
        <v>527</v>
      </c>
      <c r="B213" s="1" t="s">
        <v>196</v>
      </c>
      <c r="C213" s="1" t="s">
        <v>197</v>
      </c>
      <c r="D213" s="1" t="str">
        <f>+TagData[[#This Row],[TagName]]&amp;"_"&amp;TagData[[#This Row],[Description]]</f>
        <v>PI37619B_ Pressure of top of bed C37611</v>
      </c>
      <c r="E213" cm="1">
        <f t="array" aca="1" ref="E213" ca="1">IF(ISNUMBER(SEARCH(INDIRECT(CELL("address")),TagData[[#This Row],[Combined]])),MAX($E$1:E212)+1,0)</f>
        <v>0</v>
      </c>
      <c r="F213" s="1" t="str">
        <f ca="1">IFERROR(INDEX(TagData[],MATCH(ROWS(F$1:$G212),TagData[Search],0),4),"")</f>
        <v/>
      </c>
    </row>
    <row r="214" spans="1:6" x14ac:dyDescent="0.3">
      <c r="A214">
        <v>532</v>
      </c>
      <c r="B214" s="1" t="s">
        <v>198</v>
      </c>
      <c r="C214" s="1" t="s">
        <v>199</v>
      </c>
      <c r="D214" s="1" t="str">
        <f>+TagData[[#This Row],[TagName]]&amp;"_"&amp;TagData[[#This Row],[Description]]</f>
        <v>JI37901A_Current of Pri Vacuum Pump B37901A</v>
      </c>
      <c r="E214" cm="1">
        <f t="array" aca="1" ref="E214" ca="1">IF(ISNUMBER(SEARCH(INDIRECT(CELL("address")),TagData[[#This Row],[Combined]])),MAX($E$1:E213)+1,0)</f>
        <v>0</v>
      </c>
      <c r="F214" s="1" t="str">
        <f ca="1">IFERROR(INDEX(TagData[],MATCH(ROWS(F$1:$G213),TagData[Search],0),4),"")</f>
        <v/>
      </c>
    </row>
    <row r="215" spans="1:6" x14ac:dyDescent="0.3">
      <c r="A215">
        <v>531</v>
      </c>
      <c r="B215" s="1" t="s">
        <v>200</v>
      </c>
      <c r="C215" s="1" t="s">
        <v>201</v>
      </c>
      <c r="D215" s="1" t="str">
        <f>+TagData[[#This Row],[TagName]]&amp;"_"&amp;TagData[[#This Row],[Description]]</f>
        <v>JI37901B_Current of Pri Vacuum Pump B37901B</v>
      </c>
      <c r="E215" cm="1">
        <f t="array" aca="1" ref="E215" ca="1">IF(ISNUMBER(SEARCH(INDIRECT(CELL("address")),TagData[[#This Row],[Combined]])),MAX($E$1:E214)+1,0)</f>
        <v>0</v>
      </c>
      <c r="F215" s="1" t="str">
        <f ca="1">IFERROR(INDEX(TagData[],MATCH(ROWS(F$1:$G214),TagData[Search],0),4),"")</f>
        <v/>
      </c>
    </row>
    <row r="216" spans="1:6" x14ac:dyDescent="0.3">
      <c r="A216">
        <v>537</v>
      </c>
      <c r="B216" s="1" t="s">
        <v>200</v>
      </c>
      <c r="C216" s="1" t="s">
        <v>201</v>
      </c>
      <c r="D216" s="1" t="str">
        <f>+TagData[[#This Row],[TagName]]&amp;"_"&amp;TagData[[#This Row],[Description]]</f>
        <v>JI37901B_Current of Pri Vacuum Pump B37901B</v>
      </c>
      <c r="E216" cm="1">
        <f t="array" aca="1" ref="E216" ca="1">IF(ISNUMBER(SEARCH(INDIRECT(CELL("address")),TagData[[#This Row],[Combined]])),MAX($E$1:E215)+1,0)</f>
        <v>0</v>
      </c>
      <c r="F216" s="1" t="str">
        <f ca="1">IFERROR(INDEX(TagData[],MATCH(ROWS(F$1:$G215),TagData[Search],0),4),"")</f>
        <v/>
      </c>
    </row>
    <row r="217" spans="1:6" x14ac:dyDescent="0.3">
      <c r="A217">
        <v>536</v>
      </c>
      <c r="B217" s="1" t="s">
        <v>202</v>
      </c>
      <c r="C217" s="1" t="s">
        <v>203</v>
      </c>
      <c r="D217" s="1" t="str">
        <f>+TagData[[#This Row],[TagName]]&amp;"_"&amp;TagData[[#This Row],[Description]]</f>
        <v>JI37902A_Current of Tar Conc Vacuum B37902A</v>
      </c>
      <c r="E217" cm="1">
        <f t="array" aca="1" ref="E217" ca="1">IF(ISNUMBER(SEARCH(INDIRECT(CELL("address")),TagData[[#This Row],[Combined]])),MAX($E$1:E216)+1,0)</f>
        <v>0</v>
      </c>
      <c r="F217" s="1" t="str">
        <f ca="1">IFERROR(INDEX(TagData[],MATCH(ROWS(F$1:$G216),TagData[Search],0),4),"")</f>
        <v/>
      </c>
    </row>
    <row r="218" spans="1:6" x14ac:dyDescent="0.3">
      <c r="A218">
        <v>542</v>
      </c>
      <c r="B218" s="1" t="s">
        <v>202</v>
      </c>
      <c r="C218" s="1" t="s">
        <v>203</v>
      </c>
      <c r="D218" s="1" t="str">
        <f>+TagData[[#This Row],[TagName]]&amp;"_"&amp;TagData[[#This Row],[Description]]</f>
        <v>JI37902A_Current of Tar Conc Vacuum B37902A</v>
      </c>
      <c r="E218" cm="1">
        <f t="array" aca="1" ref="E218" ca="1">IF(ISNUMBER(SEARCH(INDIRECT(CELL("address")),TagData[[#This Row],[Combined]])),MAX($E$1:E217)+1,0)</f>
        <v>0</v>
      </c>
      <c r="F218" s="1" t="str">
        <f ca="1">IFERROR(INDEX(TagData[],MATCH(ROWS(F$1:$G217),TagData[Search],0),4),"")</f>
        <v/>
      </c>
    </row>
    <row r="219" spans="1:6" x14ac:dyDescent="0.3">
      <c r="A219">
        <v>541</v>
      </c>
      <c r="B219" s="1" t="s">
        <v>204</v>
      </c>
      <c r="C219" s="1" t="s">
        <v>205</v>
      </c>
      <c r="D219" s="1" t="str">
        <f>+TagData[[#This Row],[TagName]]&amp;"_"&amp;TagData[[#This Row],[Description]]</f>
        <v>JI37902B_Current of Tar Conc Vacuum B37902B</v>
      </c>
      <c r="E219" cm="1">
        <f t="array" aca="1" ref="E219" ca="1">IF(ISNUMBER(SEARCH(INDIRECT(CELL("address")),TagData[[#This Row],[Combined]])),MAX($E$1:E218)+1,0)</f>
        <v>0</v>
      </c>
      <c r="F219" s="1" t="str">
        <f ca="1">IFERROR(INDEX(TagData[],MATCH(ROWS(F$1:$G218),TagData[Search],0),4),"")</f>
        <v/>
      </c>
    </row>
    <row r="220" spans="1:6" x14ac:dyDescent="0.3">
      <c r="A220">
        <v>547</v>
      </c>
      <c r="B220" s="1" t="s">
        <v>204</v>
      </c>
      <c r="C220" s="1" t="s">
        <v>205</v>
      </c>
      <c r="D220" s="1" t="str">
        <f>+TagData[[#This Row],[TagName]]&amp;"_"&amp;TagData[[#This Row],[Description]]</f>
        <v>JI37902B_Current of Tar Conc Vacuum B37902B</v>
      </c>
      <c r="E220" cm="1">
        <f t="array" aca="1" ref="E220" ca="1">IF(ISNUMBER(SEARCH(INDIRECT(CELL("address")),TagData[[#This Row],[Combined]])),MAX($E$1:E219)+1,0)</f>
        <v>0</v>
      </c>
      <c r="F220" s="1" t="str">
        <f ca="1">IFERROR(INDEX(TagData[],MATCH(ROWS(F$1:$G219),TagData[Search],0),4),"")</f>
        <v/>
      </c>
    </row>
    <row r="221" spans="1:6" x14ac:dyDescent="0.3">
      <c r="A221">
        <v>546</v>
      </c>
      <c r="B221" s="1" t="s">
        <v>206</v>
      </c>
      <c r="C221" s="1" t="s">
        <v>207</v>
      </c>
      <c r="D221" s="1" t="str">
        <f>+TagData[[#This Row],[TagName]]&amp;"_"&amp;TagData[[#This Row],[Description]]</f>
        <v>JI37903A_Current of Sec Vacuum Pump B37903A</v>
      </c>
      <c r="E221" cm="1">
        <f t="array" aca="1" ref="E221" ca="1">IF(ISNUMBER(SEARCH(INDIRECT(CELL("address")),TagData[[#This Row],[Combined]])),MAX($E$1:E220)+1,0)</f>
        <v>0</v>
      </c>
      <c r="F221" s="1" t="str">
        <f ca="1">IFERROR(INDEX(TagData[],MATCH(ROWS(F$1:$G220),TagData[Search],0),4),"")</f>
        <v/>
      </c>
    </row>
    <row r="222" spans="1:6" x14ac:dyDescent="0.3">
      <c r="A222">
        <v>552</v>
      </c>
      <c r="B222" s="1" t="s">
        <v>206</v>
      </c>
      <c r="C222" s="1" t="s">
        <v>207</v>
      </c>
      <c r="D222" s="1" t="str">
        <f>+TagData[[#This Row],[TagName]]&amp;"_"&amp;TagData[[#This Row],[Description]]</f>
        <v>JI37903A_Current of Sec Vacuum Pump B37903A</v>
      </c>
      <c r="E222" cm="1">
        <f t="array" aca="1" ref="E222" ca="1">IF(ISNUMBER(SEARCH(INDIRECT(CELL("address")),TagData[[#This Row],[Combined]])),MAX($E$1:E221)+1,0)</f>
        <v>0</v>
      </c>
      <c r="F222" s="1" t="str">
        <f ca="1">IFERROR(INDEX(TagData[],MATCH(ROWS(F$1:$G221),TagData[Search],0),4),"")</f>
        <v/>
      </c>
    </row>
    <row r="223" spans="1:6" x14ac:dyDescent="0.3">
      <c r="A223">
        <v>551</v>
      </c>
      <c r="B223" s="1" t="s">
        <v>208</v>
      </c>
      <c r="C223" s="1" t="s">
        <v>209</v>
      </c>
      <c r="D223" s="1" t="str">
        <f>+TagData[[#This Row],[TagName]]&amp;"_"&amp;TagData[[#This Row],[Description]]</f>
        <v>JI37903B_Current of Sec Vacuum Pump B37903B</v>
      </c>
      <c r="E223" cm="1">
        <f t="array" aca="1" ref="E223" ca="1">IF(ISNUMBER(SEARCH(INDIRECT(CELL("address")),TagData[[#This Row],[Combined]])),MAX($E$1:E222)+1,0)</f>
        <v>0</v>
      </c>
      <c r="F223" s="1" t="str">
        <f ca="1">IFERROR(INDEX(TagData[],MATCH(ROWS(F$1:$G222),TagData[Search],0),4),"")</f>
        <v/>
      </c>
    </row>
    <row r="224" spans="1:6" x14ac:dyDescent="0.3">
      <c r="A224">
        <v>557</v>
      </c>
      <c r="B224" s="1" t="s">
        <v>208</v>
      </c>
      <c r="C224" s="1" t="s">
        <v>209</v>
      </c>
      <c r="D224" s="1" t="str">
        <f>+TagData[[#This Row],[TagName]]&amp;"_"&amp;TagData[[#This Row],[Description]]</f>
        <v>JI37903B_Current of Sec Vacuum Pump B37903B</v>
      </c>
      <c r="E224" cm="1">
        <f t="array" aca="1" ref="E224" ca="1">IF(ISNUMBER(SEARCH(INDIRECT(CELL("address")),TagData[[#This Row],[Combined]])),MAX($E$1:E223)+1,0)</f>
        <v>0</v>
      </c>
      <c r="F224" s="1" t="str">
        <f ca="1">IFERROR(INDEX(TagData[],MATCH(ROWS(F$1:$G223),TagData[Search],0),4),"")</f>
        <v/>
      </c>
    </row>
    <row r="225" spans="1:6" x14ac:dyDescent="0.3">
      <c r="A225">
        <v>556</v>
      </c>
      <c r="B225" s="1" t="s">
        <v>210</v>
      </c>
      <c r="C225" s="1" t="s">
        <v>211</v>
      </c>
      <c r="D225" s="1" t="str">
        <f>+TagData[[#This Row],[TagName]]&amp;"_"&amp;TagData[[#This Row],[Description]]</f>
        <v>JI37904A_Current of Purification Vacuum B37904A</v>
      </c>
      <c r="E225" cm="1">
        <f t="array" aca="1" ref="E225" ca="1">IF(ISNUMBER(SEARCH(INDIRECT(CELL("address")),TagData[[#This Row],[Combined]])),MAX($E$1:E224)+1,0)</f>
        <v>0</v>
      </c>
      <c r="F225" s="1" t="str">
        <f ca="1">IFERROR(INDEX(TagData[],MATCH(ROWS(F$1:$G224),TagData[Search],0),4),"")</f>
        <v/>
      </c>
    </row>
    <row r="226" spans="1:6" x14ac:dyDescent="0.3">
      <c r="A226">
        <v>562</v>
      </c>
      <c r="B226" s="1" t="s">
        <v>210</v>
      </c>
      <c r="C226" s="1" t="s">
        <v>211</v>
      </c>
      <c r="D226" s="1" t="str">
        <f>+TagData[[#This Row],[TagName]]&amp;"_"&amp;TagData[[#This Row],[Description]]</f>
        <v>JI37904A_Current of Purification Vacuum B37904A</v>
      </c>
      <c r="E226" cm="1">
        <f t="array" aca="1" ref="E226" ca="1">IF(ISNUMBER(SEARCH(INDIRECT(CELL("address")),TagData[[#This Row],[Combined]])),MAX($E$1:E225)+1,0)</f>
        <v>0</v>
      </c>
      <c r="F226" s="1" t="str">
        <f ca="1">IFERROR(INDEX(TagData[],MATCH(ROWS(F$1:$G225),TagData[Search],0),4),"")</f>
        <v/>
      </c>
    </row>
    <row r="227" spans="1:6" x14ac:dyDescent="0.3">
      <c r="A227">
        <v>561</v>
      </c>
      <c r="B227" s="1" t="s">
        <v>212</v>
      </c>
      <c r="C227" s="1" t="s">
        <v>213</v>
      </c>
      <c r="D227" s="1" t="str">
        <f>+TagData[[#This Row],[TagName]]&amp;"_"&amp;TagData[[#This Row],[Description]]</f>
        <v>JI37904B_Current of Purification Vacuum B37904B</v>
      </c>
      <c r="E227" cm="1">
        <f t="array" aca="1" ref="E227" ca="1">IF(ISNUMBER(SEARCH(INDIRECT(CELL("address")),TagData[[#This Row],[Combined]])),MAX($E$1:E226)+1,0)</f>
        <v>0</v>
      </c>
      <c r="F227" s="1" t="str">
        <f ca="1">IFERROR(INDEX(TagData[],MATCH(ROWS(F$1:$G226),TagData[Search],0),4),"")</f>
        <v/>
      </c>
    </row>
    <row r="228" spans="1:6" x14ac:dyDescent="0.3">
      <c r="A228">
        <v>567</v>
      </c>
      <c r="B228" s="1" t="s">
        <v>212</v>
      </c>
      <c r="C228" s="1" t="s">
        <v>213</v>
      </c>
      <c r="D228" s="1" t="str">
        <f>+TagData[[#This Row],[TagName]]&amp;"_"&amp;TagData[[#This Row],[Description]]</f>
        <v>JI37904B_Current of Purification Vacuum B37904B</v>
      </c>
      <c r="E228" cm="1">
        <f t="array" aca="1" ref="E228" ca="1">IF(ISNUMBER(SEARCH(INDIRECT(CELL("address")),TagData[[#This Row],[Combined]])),MAX($E$1:E227)+1,0)</f>
        <v>0</v>
      </c>
      <c r="F228" s="1" t="str">
        <f ca="1">IFERROR(INDEX(TagData[],MATCH(ROWS(F$1:$G227),TagData[Search],0),4),"")</f>
        <v/>
      </c>
    </row>
    <row r="229" spans="1:6" x14ac:dyDescent="0.3">
      <c r="A229">
        <v>566</v>
      </c>
      <c r="B229" s="1" t="s">
        <v>214</v>
      </c>
      <c r="C229" s="1" t="s">
        <v>215</v>
      </c>
      <c r="D229" s="1" t="str">
        <f>+TagData[[#This Row],[TagName]]&amp;"_"&amp;TagData[[#This Row],[Description]]</f>
        <v>LIC37902_ Level of Primary Sep S37901.03A</v>
      </c>
      <c r="E229" cm="1">
        <f t="array" aca="1" ref="E229" ca="1">IF(ISNUMBER(SEARCH(INDIRECT(CELL("address")),TagData[[#This Row],[Combined]])),MAX($E$1:E228)+1,0)</f>
        <v>0</v>
      </c>
      <c r="F229" s="1" t="str">
        <f ca="1">IFERROR(INDEX(TagData[],MATCH(ROWS(F$1:$G228),TagData[Search],0),4),"")</f>
        <v/>
      </c>
    </row>
    <row r="230" spans="1:6" x14ac:dyDescent="0.3">
      <c r="A230">
        <v>572</v>
      </c>
      <c r="B230" s="1" t="s">
        <v>214</v>
      </c>
      <c r="C230" s="1" t="s">
        <v>215</v>
      </c>
      <c r="D230" s="1" t="str">
        <f>+TagData[[#This Row],[TagName]]&amp;"_"&amp;TagData[[#This Row],[Description]]</f>
        <v>LIC37902_ Level of Primary Sep S37901.03A</v>
      </c>
      <c r="E230" cm="1">
        <f t="array" aca="1" ref="E230" ca="1">IF(ISNUMBER(SEARCH(INDIRECT(CELL("address")),TagData[[#This Row],[Combined]])),MAX($E$1:E229)+1,0)</f>
        <v>0</v>
      </c>
      <c r="F230" s="1" t="str">
        <f ca="1">IFERROR(INDEX(TagData[],MATCH(ROWS(F$1:$G229),TagData[Search],0),4),"")</f>
        <v/>
      </c>
    </row>
    <row r="231" spans="1:6" x14ac:dyDescent="0.3">
      <c r="A231">
        <v>571</v>
      </c>
      <c r="B231" s="1" t="s">
        <v>214</v>
      </c>
      <c r="C231" s="1" t="s">
        <v>216</v>
      </c>
      <c r="D231" s="1" t="str">
        <f>+TagData[[#This Row],[TagName]]&amp;"_"&amp;TagData[[#This Row],[Description]]</f>
        <v>LIC37902_Level Control Pri. Sep S37901.03A</v>
      </c>
      <c r="E231" cm="1">
        <f t="array" aca="1" ref="E231" ca="1">IF(ISNUMBER(SEARCH(INDIRECT(CELL("address")),TagData[[#This Row],[Combined]])),MAX($E$1:E230)+1,0)</f>
        <v>0</v>
      </c>
      <c r="F231" s="1" t="str">
        <f ca="1">IFERROR(INDEX(TagData[],MATCH(ROWS(F$1:$G230),TagData[Search],0),4),"")</f>
        <v/>
      </c>
    </row>
    <row r="232" spans="1:6" x14ac:dyDescent="0.3">
      <c r="A232">
        <v>576</v>
      </c>
      <c r="B232" s="1" t="s">
        <v>217</v>
      </c>
      <c r="C232" s="1" t="s">
        <v>218</v>
      </c>
      <c r="D232" s="1" t="str">
        <f>+TagData[[#This Row],[TagName]]&amp;"_"&amp;TagData[[#This Row],[Description]]</f>
        <v>FIC37909_ Flow of ODCB to B37901A</v>
      </c>
      <c r="E232" cm="1">
        <f t="array" aca="1" ref="E232" ca="1">IF(ISNUMBER(SEARCH(INDIRECT(CELL("address")),TagData[[#This Row],[Combined]])),MAX($E$1:E231)+1,0)</f>
        <v>0</v>
      </c>
      <c r="F232" s="1" t="str">
        <f ca="1">IFERROR(INDEX(TagData[],MATCH(ROWS(F$1:$G231),TagData[Search],0),4),"")</f>
        <v/>
      </c>
    </row>
    <row r="233" spans="1:6" x14ac:dyDescent="0.3">
      <c r="A233">
        <v>577</v>
      </c>
      <c r="B233" s="1" t="s">
        <v>214</v>
      </c>
      <c r="C233" s="1" t="s">
        <v>216</v>
      </c>
      <c r="D233" s="1" t="str">
        <f>+TagData[[#This Row],[TagName]]&amp;"_"&amp;TagData[[#This Row],[Description]]</f>
        <v>LIC37902_Level Control Pri. Sep S37901.03A</v>
      </c>
      <c r="E233" cm="1">
        <f t="array" aca="1" ref="E233" ca="1">IF(ISNUMBER(SEARCH(INDIRECT(CELL("address")),TagData[[#This Row],[Combined]])),MAX($E$1:E232)+1,0)</f>
        <v>0</v>
      </c>
      <c r="F233" s="1" t="str">
        <f ca="1">IFERROR(INDEX(TagData[],MATCH(ROWS(F$1:$G232),TagData[Search],0),4),"")</f>
        <v/>
      </c>
    </row>
    <row r="234" spans="1:6" x14ac:dyDescent="0.3">
      <c r="A234">
        <v>581</v>
      </c>
      <c r="B234" s="1" t="s">
        <v>217</v>
      </c>
      <c r="C234" s="1" t="s">
        <v>219</v>
      </c>
      <c r="D234" s="1" t="str">
        <f>+TagData[[#This Row],[TagName]]&amp;"_"&amp;TagData[[#This Row],[Description]]</f>
        <v>FIC37909_ Flow Control of ODCB to B37901A</v>
      </c>
      <c r="E234" cm="1">
        <f t="array" aca="1" ref="E234" ca="1">IF(ISNUMBER(SEARCH(INDIRECT(CELL("address")),TagData[[#This Row],[Combined]])),MAX($E$1:E233)+1,0)</f>
        <v>0</v>
      </c>
      <c r="F234" s="1" t="str">
        <f ca="1">IFERROR(INDEX(TagData[],MATCH(ROWS(F$1:$G233),TagData[Search],0),4),"")</f>
        <v/>
      </c>
    </row>
    <row r="235" spans="1:6" x14ac:dyDescent="0.3">
      <c r="A235">
        <v>582</v>
      </c>
      <c r="B235" s="1" t="s">
        <v>217</v>
      </c>
      <c r="C235" s="1" t="s">
        <v>218</v>
      </c>
      <c r="D235" s="1" t="str">
        <f>+TagData[[#This Row],[TagName]]&amp;"_"&amp;TagData[[#This Row],[Description]]</f>
        <v>FIC37909_ Flow of ODCB to B37901A</v>
      </c>
      <c r="E235" cm="1">
        <f t="array" aca="1" ref="E235" ca="1">IF(ISNUMBER(SEARCH(INDIRECT(CELL("address")),TagData[[#This Row],[Combined]])),MAX($E$1:E234)+1,0)</f>
        <v>0</v>
      </c>
      <c r="F235" s="1" t="str">
        <f ca="1">IFERROR(INDEX(TagData[],MATCH(ROWS(F$1:$G234),TagData[Search],0),4),"")</f>
        <v/>
      </c>
    </row>
    <row r="236" spans="1:6" x14ac:dyDescent="0.3">
      <c r="A236">
        <v>586</v>
      </c>
      <c r="B236" s="1" t="s">
        <v>220</v>
      </c>
      <c r="C236" s="1" t="s">
        <v>221</v>
      </c>
      <c r="D236" s="1" t="str">
        <f>+TagData[[#This Row],[TagName]]&amp;"_"&amp;TagData[[#This Row],[Description]]</f>
        <v>FI37910_Flow frm E37901.02A to B37901A</v>
      </c>
      <c r="E236" cm="1">
        <f t="array" aca="1" ref="E236" ca="1">IF(ISNUMBER(SEARCH(INDIRECT(CELL("address")),TagData[[#This Row],[Combined]])),MAX($E$1:E235)+1,0)</f>
        <v>0</v>
      </c>
      <c r="F236" s="1" t="str">
        <f ca="1">IFERROR(INDEX(TagData[],MATCH(ROWS(F$1:$G235),TagData[Search],0),4),"")</f>
        <v/>
      </c>
    </row>
    <row r="237" spans="1:6" x14ac:dyDescent="0.3">
      <c r="A237">
        <v>587</v>
      </c>
      <c r="B237" s="1" t="s">
        <v>217</v>
      </c>
      <c r="C237" s="1" t="s">
        <v>219</v>
      </c>
      <c r="D237" s="1" t="str">
        <f>+TagData[[#This Row],[TagName]]&amp;"_"&amp;TagData[[#This Row],[Description]]</f>
        <v>FIC37909_ Flow Control of ODCB to B37901A</v>
      </c>
      <c r="E237" cm="1">
        <f t="array" aca="1" ref="E237" ca="1">IF(ISNUMBER(SEARCH(INDIRECT(CELL("address")),TagData[[#This Row],[Combined]])),MAX($E$1:E236)+1,0)</f>
        <v>0</v>
      </c>
      <c r="F237" s="1" t="str">
        <f ca="1">IFERROR(INDEX(TagData[],MATCH(ROWS(F$1:$G236),TagData[Search],0),4),"")</f>
        <v/>
      </c>
    </row>
    <row r="238" spans="1:6" x14ac:dyDescent="0.3">
      <c r="A238">
        <v>592</v>
      </c>
      <c r="B238" s="1" t="s">
        <v>220</v>
      </c>
      <c r="C238" s="1" t="s">
        <v>221</v>
      </c>
      <c r="D238" s="1" t="str">
        <f>+TagData[[#This Row],[TagName]]&amp;"_"&amp;TagData[[#This Row],[Description]]</f>
        <v>FI37910_Flow frm E37901.02A to B37901A</v>
      </c>
      <c r="E238" cm="1">
        <f t="array" aca="1" ref="E238" ca="1">IF(ISNUMBER(SEARCH(INDIRECT(CELL("address")),TagData[[#This Row],[Combined]])),MAX($E$1:E237)+1,0)</f>
        <v>0</v>
      </c>
      <c r="F238" s="1" t="str">
        <f ca="1">IFERROR(INDEX(TagData[],MATCH(ROWS(F$1:$G237),TagData[Search],0),4),"")</f>
        <v/>
      </c>
    </row>
    <row r="239" spans="1:6" x14ac:dyDescent="0.3">
      <c r="A239">
        <v>591</v>
      </c>
      <c r="B239" s="1" t="s">
        <v>222</v>
      </c>
      <c r="C239" s="1" t="s">
        <v>223</v>
      </c>
      <c r="D239" s="1" t="str">
        <f>+TagData[[#This Row],[TagName]]&amp;"_"&amp;TagData[[#This Row],[Description]]</f>
        <v>TI37907_Temp of Primary Sep. S37901.03A</v>
      </c>
      <c r="E239" cm="1">
        <f t="array" aca="1" ref="E239" ca="1">IF(ISNUMBER(SEARCH(INDIRECT(CELL("address")),TagData[[#This Row],[Combined]])),MAX($E$1:E238)+1,0)</f>
        <v>0</v>
      </c>
      <c r="F239" s="1" t="str">
        <f ca="1">IFERROR(INDEX(TagData[],MATCH(ROWS(F$1:$G238),TagData[Search],0),4),"")</f>
        <v/>
      </c>
    </row>
    <row r="240" spans="1:6" x14ac:dyDescent="0.3">
      <c r="A240">
        <v>597</v>
      </c>
      <c r="B240" s="1" t="s">
        <v>222</v>
      </c>
      <c r="C240" s="1" t="s">
        <v>223</v>
      </c>
      <c r="D240" s="1" t="str">
        <f>+TagData[[#This Row],[TagName]]&amp;"_"&amp;TagData[[#This Row],[Description]]</f>
        <v>TI37907_Temp of Primary Sep. S37901.03A</v>
      </c>
      <c r="E240" cm="1">
        <f t="array" aca="1" ref="E240" ca="1">IF(ISNUMBER(SEARCH(INDIRECT(CELL("address")),TagData[[#This Row],[Combined]])),MAX($E$1:E239)+1,0)</f>
        <v>0</v>
      </c>
      <c r="F240" s="1" t="str">
        <f ca="1">IFERROR(INDEX(TagData[],MATCH(ROWS(F$1:$G239),TagData[Search],0),4),"")</f>
        <v/>
      </c>
    </row>
    <row r="241" spans="1:6" x14ac:dyDescent="0.3">
      <c r="A241">
        <v>596</v>
      </c>
      <c r="B241" s="1" t="s">
        <v>224</v>
      </c>
      <c r="C241" s="1" t="s">
        <v>225</v>
      </c>
      <c r="D241" s="1" t="str">
        <f>+TagData[[#This Row],[TagName]]&amp;"_"&amp;TagData[[#This Row],[Description]]</f>
        <v>TI37908_Temp of Pri Vac Pump B37901A</v>
      </c>
      <c r="E241" cm="1">
        <f t="array" aca="1" ref="E241" ca="1">IF(ISNUMBER(SEARCH(INDIRECT(CELL("address")),TagData[[#This Row],[Combined]])),MAX($E$1:E240)+1,0)</f>
        <v>0</v>
      </c>
      <c r="F241" s="1" t="str">
        <f ca="1">IFERROR(INDEX(TagData[],MATCH(ROWS(F$1:$G240),TagData[Search],0),4),"")</f>
        <v/>
      </c>
    </row>
    <row r="242" spans="1:6" x14ac:dyDescent="0.3">
      <c r="A242">
        <v>602</v>
      </c>
      <c r="B242" s="1" t="s">
        <v>224</v>
      </c>
      <c r="C242" s="1" t="s">
        <v>225</v>
      </c>
      <c r="D242" s="1" t="str">
        <f>+TagData[[#This Row],[TagName]]&amp;"_"&amp;TagData[[#This Row],[Description]]</f>
        <v>TI37908_Temp of Pri Vac Pump B37901A</v>
      </c>
      <c r="E242" cm="1">
        <f t="array" aca="1" ref="E242" ca="1">IF(ISNUMBER(SEARCH(INDIRECT(CELL("address")),TagData[[#This Row],[Combined]])),MAX($E$1:E241)+1,0)</f>
        <v>0</v>
      </c>
      <c r="F242" s="1" t="str">
        <f ca="1">IFERROR(INDEX(TagData[],MATCH(ROWS(F$1:$G241),TagData[Search],0),4),"")</f>
        <v/>
      </c>
    </row>
    <row r="243" spans="1:6" x14ac:dyDescent="0.3">
      <c r="A243">
        <v>601</v>
      </c>
      <c r="B243" s="1" t="s">
        <v>226</v>
      </c>
      <c r="C243" s="1" t="s">
        <v>227</v>
      </c>
      <c r="D243" s="1" t="str">
        <f>+TagData[[#This Row],[TagName]]&amp;"_"&amp;TagData[[#This Row],[Description]]</f>
        <v>TIC37906_Temp of Primary Cooler E37901.02A</v>
      </c>
      <c r="E243" cm="1">
        <f t="array" aca="1" ref="E243" ca="1">IF(ISNUMBER(SEARCH(INDIRECT(CELL("address")),TagData[[#This Row],[Combined]])),MAX($E$1:E242)+1,0)</f>
        <v>0</v>
      </c>
      <c r="F243" s="1" t="str">
        <f ca="1">IFERROR(INDEX(TagData[],MATCH(ROWS(F$1:$G242),TagData[Search],0),4),"")</f>
        <v/>
      </c>
    </row>
    <row r="244" spans="1:6" x14ac:dyDescent="0.3">
      <c r="A244">
        <v>606</v>
      </c>
      <c r="B244" s="1" t="s">
        <v>226</v>
      </c>
      <c r="C244" s="1" t="s">
        <v>228</v>
      </c>
      <c r="D244" s="1" t="str">
        <f>+TagData[[#This Row],[TagName]]&amp;"_"&amp;TagData[[#This Row],[Description]]</f>
        <v>TIC37906_Temp Control of E37901.02A</v>
      </c>
      <c r="E244" cm="1">
        <f t="array" aca="1" ref="E244" ca="1">IF(ISNUMBER(SEARCH(INDIRECT(CELL("address")),TagData[[#This Row],[Combined]])),MAX($E$1:E243)+1,0)</f>
        <v>0</v>
      </c>
      <c r="F244" s="1" t="str">
        <f ca="1">IFERROR(INDEX(TagData[],MATCH(ROWS(F$1:$G243),TagData[Search],0),4),"")</f>
        <v/>
      </c>
    </row>
    <row r="245" spans="1:6" x14ac:dyDescent="0.3">
      <c r="A245">
        <v>607</v>
      </c>
      <c r="B245" s="1" t="s">
        <v>226</v>
      </c>
      <c r="C245" s="1" t="s">
        <v>227</v>
      </c>
      <c r="D245" s="1" t="str">
        <f>+TagData[[#This Row],[TagName]]&amp;"_"&amp;TagData[[#This Row],[Description]]</f>
        <v>TIC37906_Temp of Primary Cooler E37901.02A</v>
      </c>
      <c r="E245" cm="1">
        <f t="array" aca="1" ref="E245" ca="1">IF(ISNUMBER(SEARCH(INDIRECT(CELL("address")),TagData[[#This Row],[Combined]])),MAX($E$1:E244)+1,0)</f>
        <v>0</v>
      </c>
      <c r="F245" s="1" t="str">
        <f ca="1">IFERROR(INDEX(TagData[],MATCH(ROWS(F$1:$G244),TagData[Search],0),4),"")</f>
        <v/>
      </c>
    </row>
    <row r="246" spans="1:6" x14ac:dyDescent="0.3">
      <c r="A246">
        <v>611</v>
      </c>
      <c r="B246" s="1" t="s">
        <v>229</v>
      </c>
      <c r="C246" s="1" t="s">
        <v>230</v>
      </c>
      <c r="D246" s="1" t="str">
        <f>+TagData[[#This Row],[TagName]]&amp;"_"&amp;TagData[[#This Row],[Description]]</f>
        <v>TI37915_Temp of Pri Vac Pump B37901B</v>
      </c>
      <c r="E246" cm="1">
        <f t="array" aca="1" ref="E246" ca="1">IF(ISNUMBER(SEARCH(INDIRECT(CELL("address")),TagData[[#This Row],[Combined]])),MAX($E$1:E245)+1,0)</f>
        <v>0</v>
      </c>
      <c r="F246" s="1" t="str">
        <f ca="1">IFERROR(INDEX(TagData[],MATCH(ROWS(F$1:$G245),TagData[Search],0),4),"")</f>
        <v/>
      </c>
    </row>
    <row r="247" spans="1:6" x14ac:dyDescent="0.3">
      <c r="A247">
        <v>612</v>
      </c>
      <c r="B247" s="1" t="s">
        <v>226</v>
      </c>
      <c r="C247" s="1" t="s">
        <v>228</v>
      </c>
      <c r="D247" s="1" t="str">
        <f>+TagData[[#This Row],[TagName]]&amp;"_"&amp;TagData[[#This Row],[Description]]</f>
        <v>TIC37906_Temp Control of E37901.02A</v>
      </c>
      <c r="E247" cm="1">
        <f t="array" aca="1" ref="E247" ca="1">IF(ISNUMBER(SEARCH(INDIRECT(CELL("address")),TagData[[#This Row],[Combined]])),MAX($E$1:E246)+1,0)</f>
        <v>0</v>
      </c>
      <c r="F247" s="1" t="str">
        <f ca="1">IFERROR(INDEX(TagData[],MATCH(ROWS(F$1:$G246),TagData[Search],0),4),"")</f>
        <v/>
      </c>
    </row>
    <row r="248" spans="1:6" x14ac:dyDescent="0.3">
      <c r="A248">
        <v>616</v>
      </c>
      <c r="B248" s="1" t="s">
        <v>231</v>
      </c>
      <c r="C248" s="1" t="s">
        <v>232</v>
      </c>
      <c r="D248" s="1" t="str">
        <f>+TagData[[#This Row],[TagName]]&amp;"_"&amp;TagData[[#This Row],[Description]]</f>
        <v>LIC37912_ Level of Primary Sep S37901.03B</v>
      </c>
      <c r="E248" cm="1">
        <f t="array" aca="1" ref="E248" ca="1">IF(ISNUMBER(SEARCH(INDIRECT(CELL("address")),TagData[[#This Row],[Combined]])),MAX($E$1:E247)+1,0)</f>
        <v>0</v>
      </c>
      <c r="F248" s="1" t="str">
        <f ca="1">IFERROR(INDEX(TagData[],MATCH(ROWS(F$1:$G247),TagData[Search],0),4),"")</f>
        <v/>
      </c>
    </row>
    <row r="249" spans="1:6" x14ac:dyDescent="0.3">
      <c r="A249">
        <v>617</v>
      </c>
      <c r="B249" s="1" t="s">
        <v>229</v>
      </c>
      <c r="C249" s="1" t="s">
        <v>230</v>
      </c>
      <c r="D249" s="1" t="str">
        <f>+TagData[[#This Row],[TagName]]&amp;"_"&amp;TagData[[#This Row],[Description]]</f>
        <v>TI37915_Temp of Pri Vac Pump B37901B</v>
      </c>
      <c r="E249" cm="1">
        <f t="array" aca="1" ref="E249" ca="1">IF(ISNUMBER(SEARCH(INDIRECT(CELL("address")),TagData[[#This Row],[Combined]])),MAX($E$1:E248)+1,0)</f>
        <v>0</v>
      </c>
      <c r="F249" s="1" t="str">
        <f ca="1">IFERROR(INDEX(TagData[],MATCH(ROWS(F$1:$G248),TagData[Search],0),4),"")</f>
        <v/>
      </c>
    </row>
    <row r="250" spans="1:6" x14ac:dyDescent="0.3">
      <c r="A250">
        <v>621</v>
      </c>
      <c r="B250" s="1" t="s">
        <v>231</v>
      </c>
      <c r="C250" s="1" t="s">
        <v>233</v>
      </c>
      <c r="D250" s="1" t="str">
        <f>+TagData[[#This Row],[TagName]]&amp;"_"&amp;TagData[[#This Row],[Description]]</f>
        <v>LIC37912_ Level Control Pri Sep. S37901.03B</v>
      </c>
      <c r="E250" cm="1">
        <f t="array" aca="1" ref="E250" ca="1">IF(ISNUMBER(SEARCH(INDIRECT(CELL("address")),TagData[[#This Row],[Combined]])),MAX($E$1:E249)+1,0)</f>
        <v>0</v>
      </c>
      <c r="F250" s="1" t="str">
        <f ca="1">IFERROR(INDEX(TagData[],MATCH(ROWS(F$1:$G249),TagData[Search],0),4),"")</f>
        <v/>
      </c>
    </row>
    <row r="251" spans="1:6" x14ac:dyDescent="0.3">
      <c r="A251">
        <v>622</v>
      </c>
      <c r="B251" s="1" t="s">
        <v>231</v>
      </c>
      <c r="C251" s="1" t="s">
        <v>232</v>
      </c>
      <c r="D251" s="1" t="str">
        <f>+TagData[[#This Row],[TagName]]&amp;"_"&amp;TagData[[#This Row],[Description]]</f>
        <v>LIC37912_ Level of Primary Sep S37901.03B</v>
      </c>
      <c r="E251" cm="1">
        <f t="array" aca="1" ref="E251" ca="1">IF(ISNUMBER(SEARCH(INDIRECT(CELL("address")),TagData[[#This Row],[Combined]])),MAX($E$1:E250)+1,0)</f>
        <v>0</v>
      </c>
      <c r="F251" s="1" t="str">
        <f ca="1">IFERROR(INDEX(TagData[],MATCH(ROWS(F$1:$G250),TagData[Search],0),4),"")</f>
        <v/>
      </c>
    </row>
    <row r="252" spans="1:6" x14ac:dyDescent="0.3">
      <c r="A252">
        <v>626</v>
      </c>
      <c r="B252" s="1" t="s">
        <v>234</v>
      </c>
      <c r="C252" s="1" t="s">
        <v>235</v>
      </c>
      <c r="D252" s="1" t="str">
        <f>+TagData[[#This Row],[TagName]]&amp;"_"&amp;TagData[[#This Row],[Description]]</f>
        <v>FI37920_Flow frm E37901.02B to B37901B</v>
      </c>
      <c r="E252" cm="1">
        <f t="array" aca="1" ref="E252" ca="1">IF(ISNUMBER(SEARCH(INDIRECT(CELL("address")),TagData[[#This Row],[Combined]])),MAX($E$1:E251)+1,0)</f>
        <v>0</v>
      </c>
      <c r="F252" s="1" t="str">
        <f ca="1">IFERROR(INDEX(TagData[],MATCH(ROWS(F$1:$G251),TagData[Search],0),4),"")</f>
        <v/>
      </c>
    </row>
    <row r="253" spans="1:6" x14ac:dyDescent="0.3">
      <c r="A253">
        <v>627</v>
      </c>
      <c r="B253" s="1" t="s">
        <v>231</v>
      </c>
      <c r="C253" s="1" t="s">
        <v>233</v>
      </c>
      <c r="D253" s="1" t="str">
        <f>+TagData[[#This Row],[TagName]]&amp;"_"&amp;TagData[[#This Row],[Description]]</f>
        <v>LIC37912_ Level Control Pri Sep. S37901.03B</v>
      </c>
      <c r="E253" cm="1">
        <f t="array" aca="1" ref="E253" ca="1">IF(ISNUMBER(SEARCH(INDIRECT(CELL("address")),TagData[[#This Row],[Combined]])),MAX($E$1:E252)+1,0)</f>
        <v>0</v>
      </c>
      <c r="F253" s="1" t="str">
        <f ca="1">IFERROR(INDEX(TagData[],MATCH(ROWS(F$1:$G252),TagData[Search],0),4),"")</f>
        <v/>
      </c>
    </row>
    <row r="254" spans="1:6" x14ac:dyDescent="0.3">
      <c r="A254">
        <v>632</v>
      </c>
      <c r="B254" s="1" t="s">
        <v>234</v>
      </c>
      <c r="C254" s="1" t="s">
        <v>235</v>
      </c>
      <c r="D254" s="1" t="str">
        <f>+TagData[[#This Row],[TagName]]&amp;"_"&amp;TagData[[#This Row],[Description]]</f>
        <v>FI37920_Flow frm E37901.02B to B37901B</v>
      </c>
      <c r="E254" cm="1">
        <f t="array" aca="1" ref="E254" ca="1">IF(ISNUMBER(SEARCH(INDIRECT(CELL("address")),TagData[[#This Row],[Combined]])),MAX($E$1:E253)+1,0)</f>
        <v>0</v>
      </c>
      <c r="F254" s="1" t="str">
        <f ca="1">IFERROR(INDEX(TagData[],MATCH(ROWS(F$1:$G253),TagData[Search],0),4),"")</f>
        <v/>
      </c>
    </row>
    <row r="255" spans="1:6" x14ac:dyDescent="0.3">
      <c r="A255">
        <v>631</v>
      </c>
      <c r="B255" s="1" t="s">
        <v>236</v>
      </c>
      <c r="C255" s="1" t="s">
        <v>237</v>
      </c>
      <c r="D255" s="1" t="str">
        <f>+TagData[[#This Row],[TagName]]&amp;"_"&amp;TagData[[#This Row],[Description]]</f>
        <v>PIC37904_Pressure of Pri Vac Pump B37901A</v>
      </c>
      <c r="E255" cm="1">
        <f t="array" aca="1" ref="E255" ca="1">IF(ISNUMBER(SEARCH(INDIRECT(CELL("address")),TagData[[#This Row],[Combined]])),MAX($E$1:E254)+1,0)</f>
        <v>0</v>
      </c>
      <c r="F255" s="1" t="str">
        <f ca="1">IFERROR(INDEX(TagData[],MATCH(ROWS(F$1:$G254),TagData[Search],0),4),"")</f>
        <v/>
      </c>
    </row>
    <row r="256" spans="1:6" x14ac:dyDescent="0.3">
      <c r="A256">
        <v>636</v>
      </c>
      <c r="B256" s="1" t="s">
        <v>236</v>
      </c>
      <c r="C256" s="1" t="s">
        <v>238</v>
      </c>
      <c r="D256" s="1" t="str">
        <f>+TagData[[#This Row],[TagName]]&amp;"_"&amp;TagData[[#This Row],[Description]]</f>
        <v>PIC37904_Pressure Control of B37901A</v>
      </c>
      <c r="E256" cm="1">
        <f t="array" aca="1" ref="E256" ca="1">IF(ISNUMBER(SEARCH(INDIRECT(CELL("address")),TagData[[#This Row],[Combined]])),MAX($E$1:E255)+1,0)</f>
        <v>0</v>
      </c>
      <c r="F256" s="1" t="str">
        <f ca="1">IFERROR(INDEX(TagData[],MATCH(ROWS(F$1:$G255),TagData[Search],0),4),"")</f>
        <v/>
      </c>
    </row>
    <row r="257" spans="1:6" x14ac:dyDescent="0.3">
      <c r="A257">
        <v>637</v>
      </c>
      <c r="B257" s="1" t="s">
        <v>236</v>
      </c>
      <c r="C257" s="1" t="s">
        <v>237</v>
      </c>
      <c r="D257" s="1" t="str">
        <f>+TagData[[#This Row],[TagName]]&amp;"_"&amp;TagData[[#This Row],[Description]]</f>
        <v>PIC37904_Pressure of Pri Vac Pump B37901A</v>
      </c>
      <c r="E257" cm="1">
        <f t="array" aca="1" ref="E257" ca="1">IF(ISNUMBER(SEARCH(INDIRECT(CELL("address")),TagData[[#This Row],[Combined]])),MAX($E$1:E256)+1,0)</f>
        <v>0</v>
      </c>
      <c r="F257" s="1" t="str">
        <f ca="1">IFERROR(INDEX(TagData[],MATCH(ROWS(F$1:$G256),TagData[Search],0),4),"")</f>
        <v/>
      </c>
    </row>
    <row r="258" spans="1:6" x14ac:dyDescent="0.3">
      <c r="A258">
        <v>642</v>
      </c>
      <c r="B258" s="1" t="s">
        <v>236</v>
      </c>
      <c r="C258" s="1" t="s">
        <v>238</v>
      </c>
      <c r="D258" s="1" t="str">
        <f>+TagData[[#This Row],[TagName]]&amp;"_"&amp;TagData[[#This Row],[Description]]</f>
        <v>PIC37904_Pressure Control of B37901A</v>
      </c>
      <c r="E258" cm="1">
        <f t="array" aca="1" ref="E258" ca="1">IF(ISNUMBER(SEARCH(INDIRECT(CELL("address")),TagData[[#This Row],[Combined]])),MAX($E$1:E257)+1,0)</f>
        <v>0</v>
      </c>
      <c r="F258" s="1" t="str">
        <f ca="1">IFERROR(INDEX(TagData[],MATCH(ROWS(F$1:$G257),TagData[Search],0),4),"")</f>
        <v/>
      </c>
    </row>
    <row r="259" spans="1:6" x14ac:dyDescent="0.3">
      <c r="A259">
        <v>641</v>
      </c>
      <c r="B259" s="1" t="s">
        <v>239</v>
      </c>
      <c r="C259" s="1" t="s">
        <v>240</v>
      </c>
      <c r="D259" s="1" t="str">
        <f>+TagData[[#This Row],[TagName]]&amp;"_"&amp;TagData[[#This Row],[Description]]</f>
        <v>PIC37914_Pressure of Pri Vac Pump B37901B</v>
      </c>
      <c r="E259" cm="1">
        <f t="array" aca="1" ref="E259" ca="1">IF(ISNUMBER(SEARCH(INDIRECT(CELL("address")),TagData[[#This Row],[Combined]])),MAX($E$1:E258)+1,0)</f>
        <v>0</v>
      </c>
      <c r="F259" s="1" t="str">
        <f ca="1">IFERROR(INDEX(TagData[],MATCH(ROWS(F$1:$G258),TagData[Search],0),4),"")</f>
        <v/>
      </c>
    </row>
    <row r="260" spans="1:6" x14ac:dyDescent="0.3">
      <c r="A260">
        <v>646</v>
      </c>
      <c r="B260" s="1" t="s">
        <v>239</v>
      </c>
      <c r="C260" s="1" t="s">
        <v>241</v>
      </c>
      <c r="D260" s="1" t="str">
        <f>+TagData[[#This Row],[TagName]]&amp;"_"&amp;TagData[[#This Row],[Description]]</f>
        <v>PIC37914_Pressure Control of B37901B</v>
      </c>
      <c r="E260" cm="1">
        <f t="array" aca="1" ref="E260" ca="1">IF(ISNUMBER(SEARCH(INDIRECT(CELL("address")),TagData[[#This Row],[Combined]])),MAX($E$1:E259)+1,0)</f>
        <v>0</v>
      </c>
      <c r="F260" s="1" t="str">
        <f ca="1">IFERROR(INDEX(TagData[],MATCH(ROWS(F$1:$G259),TagData[Search],0),4),"")</f>
        <v/>
      </c>
    </row>
    <row r="261" spans="1:6" x14ac:dyDescent="0.3">
      <c r="A261">
        <v>647</v>
      </c>
      <c r="B261" s="1" t="s">
        <v>239</v>
      </c>
      <c r="C261" s="1" t="s">
        <v>240</v>
      </c>
      <c r="D261" s="1" t="str">
        <f>+TagData[[#This Row],[TagName]]&amp;"_"&amp;TagData[[#This Row],[Description]]</f>
        <v>PIC37914_Pressure of Pri Vac Pump B37901B</v>
      </c>
      <c r="E261" cm="1">
        <f t="array" aca="1" ref="E261" ca="1">IF(ISNUMBER(SEARCH(INDIRECT(CELL("address")),TagData[[#This Row],[Combined]])),MAX($E$1:E260)+1,0)</f>
        <v>0</v>
      </c>
      <c r="F261" s="1" t="str">
        <f ca="1">IFERROR(INDEX(TagData[],MATCH(ROWS(F$1:$G260),TagData[Search],0),4),"")</f>
        <v/>
      </c>
    </row>
    <row r="262" spans="1:6" x14ac:dyDescent="0.3">
      <c r="A262">
        <v>652</v>
      </c>
      <c r="B262" s="1" t="s">
        <v>239</v>
      </c>
      <c r="C262" s="1" t="s">
        <v>241</v>
      </c>
      <c r="D262" s="1" t="str">
        <f>+TagData[[#This Row],[TagName]]&amp;"_"&amp;TagData[[#This Row],[Description]]</f>
        <v>PIC37914_Pressure Control of B37901B</v>
      </c>
      <c r="E262" cm="1">
        <f t="array" aca="1" ref="E262" ca="1">IF(ISNUMBER(SEARCH(INDIRECT(CELL("address")),TagData[[#This Row],[Combined]])),MAX($E$1:E261)+1,0)</f>
        <v>0</v>
      </c>
      <c r="F262" s="1" t="str">
        <f ca="1">IFERROR(INDEX(TagData[],MATCH(ROWS(F$1:$G261),TagData[Search],0),4),"")</f>
        <v/>
      </c>
    </row>
    <row r="263" spans="1:6" x14ac:dyDescent="0.3">
      <c r="A263">
        <v>651</v>
      </c>
      <c r="B263" s="1" t="s">
        <v>242</v>
      </c>
      <c r="C263" s="1" t="s">
        <v>243</v>
      </c>
      <c r="D263" s="1" t="str">
        <f>+TagData[[#This Row],[TagName]]&amp;"_"&amp;TagData[[#This Row],[Description]]</f>
        <v>TIC37916_Temp of Primary Cooler E37901.02B</v>
      </c>
      <c r="E263" cm="1">
        <f t="array" aca="1" ref="E263" ca="1">IF(ISNUMBER(SEARCH(INDIRECT(CELL("address")),TagData[[#This Row],[Combined]])),MAX($E$1:E262)+1,0)</f>
        <v>0</v>
      </c>
      <c r="F263" s="1" t="str">
        <f ca="1">IFERROR(INDEX(TagData[],MATCH(ROWS(F$1:$G262),TagData[Search],0),4),"")</f>
        <v/>
      </c>
    </row>
    <row r="264" spans="1:6" x14ac:dyDescent="0.3">
      <c r="A264">
        <v>657</v>
      </c>
      <c r="B264" s="1" t="s">
        <v>242</v>
      </c>
      <c r="C264" s="1" t="s">
        <v>243</v>
      </c>
      <c r="D264" s="1" t="str">
        <f>+TagData[[#This Row],[TagName]]&amp;"_"&amp;TagData[[#This Row],[Description]]</f>
        <v>TIC37916_Temp of Primary Cooler E37901.02B</v>
      </c>
      <c r="E264" cm="1">
        <f t="array" aca="1" ref="E264" ca="1">IF(ISNUMBER(SEARCH(INDIRECT(CELL("address")),TagData[[#This Row],[Combined]])),MAX($E$1:E263)+1,0)</f>
        <v>0</v>
      </c>
      <c r="F264" s="1" t="str">
        <f ca="1">IFERROR(INDEX(TagData[],MATCH(ROWS(F$1:$G263),TagData[Search],0),4),"")</f>
        <v/>
      </c>
    </row>
    <row r="265" spans="1:6" x14ac:dyDescent="0.3">
      <c r="A265">
        <v>656</v>
      </c>
      <c r="B265" s="1" t="s">
        <v>242</v>
      </c>
      <c r="C265" s="1" t="s">
        <v>244</v>
      </c>
      <c r="D265" s="1" t="str">
        <f>+TagData[[#This Row],[TagName]]&amp;"_"&amp;TagData[[#This Row],[Description]]</f>
        <v xml:space="preserve">TIC37916_Temperature Control E37901.02B </v>
      </c>
      <c r="E265" cm="1">
        <f t="array" aca="1" ref="E265" ca="1">IF(ISNUMBER(SEARCH(INDIRECT(CELL("address")),TagData[[#This Row],[Combined]])),MAX($E$1:E264)+1,0)</f>
        <v>0</v>
      </c>
      <c r="F265" s="1" t="str">
        <f ca="1">IFERROR(INDEX(TagData[],MATCH(ROWS(F$1:$G264),TagData[Search],0),4),"")</f>
        <v/>
      </c>
    </row>
    <row r="266" spans="1:6" x14ac:dyDescent="0.3">
      <c r="A266">
        <v>661</v>
      </c>
      <c r="B266" s="1" t="s">
        <v>245</v>
      </c>
      <c r="C266" s="1" t="s">
        <v>246</v>
      </c>
      <c r="D266" s="1" t="str">
        <f>+TagData[[#This Row],[TagName]]&amp;"_"&amp;TagData[[#This Row],[Description]]</f>
        <v>TI37917_Temp of Primary Sep. S37901.03B</v>
      </c>
      <c r="E266" cm="1">
        <f t="array" aca="1" ref="E266" ca="1">IF(ISNUMBER(SEARCH(INDIRECT(CELL("address")),TagData[[#This Row],[Combined]])),MAX($E$1:E265)+1,0)</f>
        <v>0</v>
      </c>
      <c r="F266" s="1" t="str">
        <f ca="1">IFERROR(INDEX(TagData[],MATCH(ROWS(F$1:$G265),TagData[Search],0),4),"")</f>
        <v/>
      </c>
    </row>
    <row r="267" spans="1:6" x14ac:dyDescent="0.3">
      <c r="A267">
        <v>662</v>
      </c>
      <c r="B267" s="1" t="s">
        <v>242</v>
      </c>
      <c r="C267" s="1" t="s">
        <v>244</v>
      </c>
      <c r="D267" s="1" t="str">
        <f>+TagData[[#This Row],[TagName]]&amp;"_"&amp;TagData[[#This Row],[Description]]</f>
        <v xml:space="preserve">TIC37916_Temperature Control E37901.02B </v>
      </c>
      <c r="E267" cm="1">
        <f t="array" aca="1" ref="E267" ca="1">IF(ISNUMBER(SEARCH(INDIRECT(CELL("address")),TagData[[#This Row],[Combined]])),MAX($E$1:E266)+1,0)</f>
        <v>0</v>
      </c>
      <c r="F267" s="1" t="str">
        <f ca="1">IFERROR(INDEX(TagData[],MATCH(ROWS(F$1:$G266),TagData[Search],0),4),"")</f>
        <v/>
      </c>
    </row>
    <row r="268" spans="1:6" x14ac:dyDescent="0.3">
      <c r="A268">
        <v>666</v>
      </c>
      <c r="B268" s="1" t="s">
        <v>247</v>
      </c>
      <c r="C268" s="1" t="s">
        <v>248</v>
      </c>
      <c r="D268" s="1" t="str">
        <f>+TagData[[#This Row],[TagName]]&amp;"_"&amp;TagData[[#This Row],[Description]]</f>
        <v>FIC37919_ Flow of ODCB to B37901B</v>
      </c>
      <c r="E268" cm="1">
        <f t="array" aca="1" ref="E268" ca="1">IF(ISNUMBER(SEARCH(INDIRECT(CELL("address")),TagData[[#This Row],[Combined]])),MAX($E$1:E267)+1,0)</f>
        <v>0</v>
      </c>
      <c r="F268" s="1" t="str">
        <f ca="1">IFERROR(INDEX(TagData[],MATCH(ROWS(F$1:$G267),TagData[Search],0),4),"")</f>
        <v/>
      </c>
    </row>
    <row r="269" spans="1:6" x14ac:dyDescent="0.3">
      <c r="A269">
        <v>667</v>
      </c>
      <c r="B269" s="1" t="s">
        <v>245</v>
      </c>
      <c r="C269" s="1" t="s">
        <v>246</v>
      </c>
      <c r="D269" s="1" t="str">
        <f>+TagData[[#This Row],[TagName]]&amp;"_"&amp;TagData[[#This Row],[Description]]</f>
        <v>TI37917_Temp of Primary Sep. S37901.03B</v>
      </c>
      <c r="E269" cm="1">
        <f t="array" aca="1" ref="E269" ca="1">IF(ISNUMBER(SEARCH(INDIRECT(CELL("address")),TagData[[#This Row],[Combined]])),MAX($E$1:E268)+1,0)</f>
        <v>0</v>
      </c>
      <c r="F269" s="1" t="str">
        <f ca="1">IFERROR(INDEX(TagData[],MATCH(ROWS(F$1:$G268),TagData[Search],0),4),"")</f>
        <v/>
      </c>
    </row>
    <row r="270" spans="1:6" x14ac:dyDescent="0.3">
      <c r="A270">
        <v>671</v>
      </c>
      <c r="B270" s="1" t="s">
        <v>247</v>
      </c>
      <c r="C270" s="1" t="s">
        <v>249</v>
      </c>
      <c r="D270" s="1" t="str">
        <f>+TagData[[#This Row],[TagName]]&amp;"_"&amp;TagData[[#This Row],[Description]]</f>
        <v>FIC37919_ Flow control of ODCB to B37901B</v>
      </c>
      <c r="E270" cm="1">
        <f t="array" aca="1" ref="E270" ca="1">IF(ISNUMBER(SEARCH(INDIRECT(CELL("address")),TagData[[#This Row],[Combined]])),MAX($E$1:E269)+1,0)</f>
        <v>0</v>
      </c>
      <c r="F270" s="1" t="str">
        <f ca="1">IFERROR(INDEX(TagData[],MATCH(ROWS(F$1:$G269),TagData[Search],0),4),"")</f>
        <v/>
      </c>
    </row>
    <row r="271" spans="1:6" x14ac:dyDescent="0.3">
      <c r="A271">
        <v>672</v>
      </c>
      <c r="B271" s="1" t="s">
        <v>247</v>
      </c>
      <c r="C271" s="1" t="s">
        <v>248</v>
      </c>
      <c r="D271" s="1" t="str">
        <f>+TagData[[#This Row],[TagName]]&amp;"_"&amp;TagData[[#This Row],[Description]]</f>
        <v>FIC37919_ Flow of ODCB to B37901B</v>
      </c>
      <c r="E271" cm="1">
        <f t="array" aca="1" ref="E271" ca="1">IF(ISNUMBER(SEARCH(INDIRECT(CELL("address")),TagData[[#This Row],[Combined]])),MAX($E$1:E270)+1,0)</f>
        <v>0</v>
      </c>
      <c r="F271" s="1" t="str">
        <f ca="1">IFERROR(INDEX(TagData[],MATCH(ROWS(F$1:$G270),TagData[Search],0),4),"")</f>
        <v/>
      </c>
    </row>
    <row r="272" spans="1:6" x14ac:dyDescent="0.3">
      <c r="A272">
        <v>677</v>
      </c>
      <c r="B272" s="1" t="s">
        <v>247</v>
      </c>
      <c r="C272" s="1" t="s">
        <v>249</v>
      </c>
      <c r="D272" s="1" t="str">
        <f>+TagData[[#This Row],[TagName]]&amp;"_"&amp;TagData[[#This Row],[Description]]</f>
        <v>FIC37919_ Flow control of ODCB to B37901B</v>
      </c>
      <c r="E272" cm="1">
        <f t="array" aca="1" ref="E272" ca="1">IF(ISNUMBER(SEARCH(INDIRECT(CELL("address")),TagData[[#This Row],[Combined]])),MAX($E$1:E271)+1,0)</f>
        <v>0</v>
      </c>
      <c r="F272" s="1" t="str">
        <f ca="1">IFERROR(INDEX(TagData[],MATCH(ROWS(F$1:$G271),TagData[Search],0),4),"")</f>
        <v/>
      </c>
    </row>
    <row r="273" spans="1:6" x14ac:dyDescent="0.3">
      <c r="A273">
        <v>676</v>
      </c>
      <c r="B273" s="1" t="s">
        <v>250</v>
      </c>
      <c r="C273" s="1" t="s">
        <v>251</v>
      </c>
      <c r="D273" s="1" t="str">
        <f>+TagData[[#This Row],[TagName]]&amp;"_"&amp;TagData[[#This Row],[Description]]</f>
        <v>TI37981_Temp of WCR from E37901.02A</v>
      </c>
      <c r="E273" cm="1">
        <f t="array" aca="1" ref="E273" ca="1">IF(ISNUMBER(SEARCH(INDIRECT(CELL("address")),TagData[[#This Row],[Combined]])),MAX($E$1:E272)+1,0)</f>
        <v>0</v>
      </c>
      <c r="F273" s="1" t="str">
        <f ca="1">IFERROR(INDEX(TagData[],MATCH(ROWS(F$1:$G272),TagData[Search],0),4),"")</f>
        <v/>
      </c>
    </row>
    <row r="274" spans="1:6" x14ac:dyDescent="0.3">
      <c r="A274">
        <v>682</v>
      </c>
      <c r="B274" s="1" t="s">
        <v>250</v>
      </c>
      <c r="C274" s="1" t="s">
        <v>251</v>
      </c>
      <c r="D274" s="1" t="str">
        <f>+TagData[[#This Row],[TagName]]&amp;"_"&amp;TagData[[#This Row],[Description]]</f>
        <v>TI37981_Temp of WCR from E37901.02A</v>
      </c>
      <c r="E274" cm="1">
        <f t="array" aca="1" ref="E274" ca="1">IF(ISNUMBER(SEARCH(INDIRECT(CELL("address")),TagData[[#This Row],[Combined]])),MAX($E$1:E273)+1,0)</f>
        <v>0</v>
      </c>
      <c r="F274" s="1" t="str">
        <f ca="1">IFERROR(INDEX(TagData[],MATCH(ROWS(F$1:$G273),TagData[Search],0),4),"")</f>
        <v/>
      </c>
    </row>
    <row r="275" spans="1:6" x14ac:dyDescent="0.3">
      <c r="A275">
        <v>681</v>
      </c>
      <c r="B275" s="1" t="s">
        <v>252</v>
      </c>
      <c r="C275" s="1" t="s">
        <v>253</v>
      </c>
      <c r="D275" s="1" t="str">
        <f>+TagData[[#This Row],[TagName]]&amp;"_"&amp;TagData[[#This Row],[Description]]</f>
        <v>TI37991_Temp of WCR from E37901.02B</v>
      </c>
      <c r="E275" cm="1">
        <f t="array" aca="1" ref="E275" ca="1">IF(ISNUMBER(SEARCH(INDIRECT(CELL("address")),TagData[[#This Row],[Combined]])),MAX($E$1:E274)+1,0)</f>
        <v>0</v>
      </c>
      <c r="F275" s="1" t="str">
        <f ca="1">IFERROR(INDEX(TagData[],MATCH(ROWS(F$1:$G274),TagData[Search],0),4),"")</f>
        <v/>
      </c>
    </row>
    <row r="276" spans="1:6" x14ac:dyDescent="0.3">
      <c r="A276">
        <v>686</v>
      </c>
      <c r="B276" s="1" t="s">
        <v>254</v>
      </c>
      <c r="C276" s="1" t="s">
        <v>255</v>
      </c>
      <c r="D276" s="1" t="str">
        <f>+TagData[[#This Row],[TagName]]&amp;"_"&amp;TagData[[#This Row],[Description]]</f>
        <v>PIC37112_Pressue of C37101 Top</v>
      </c>
      <c r="E276" cm="1">
        <f t="array" aca="1" ref="E276" ca="1">IF(ISNUMBER(SEARCH(INDIRECT(CELL("address")),TagData[[#This Row],[Combined]])),MAX($E$1:E275)+1,0)</f>
        <v>0</v>
      </c>
      <c r="F276" s="1" t="str">
        <f ca="1">IFERROR(INDEX(TagData[],MATCH(ROWS(F$1:$G275),TagData[Search],0),4),"")</f>
        <v/>
      </c>
    </row>
    <row r="277" spans="1:6" x14ac:dyDescent="0.3">
      <c r="A277">
        <v>687</v>
      </c>
      <c r="B277" s="1" t="s">
        <v>252</v>
      </c>
      <c r="C277" s="1" t="s">
        <v>253</v>
      </c>
      <c r="D277" s="1" t="str">
        <f>+TagData[[#This Row],[TagName]]&amp;"_"&amp;TagData[[#This Row],[Description]]</f>
        <v>TI37991_Temp of WCR from E37901.02B</v>
      </c>
      <c r="E277" cm="1">
        <f t="array" aca="1" ref="E277" ca="1">IF(ISNUMBER(SEARCH(INDIRECT(CELL("address")),TagData[[#This Row],[Combined]])),MAX($E$1:E276)+1,0)</f>
        <v>0</v>
      </c>
      <c r="F277" s="1" t="str">
        <f ca="1">IFERROR(INDEX(TagData[],MATCH(ROWS(F$1:$G276),TagData[Search],0),4),"")</f>
        <v/>
      </c>
    </row>
    <row r="278" spans="1:6" x14ac:dyDescent="0.3">
      <c r="A278">
        <v>691</v>
      </c>
      <c r="B278" s="1" t="s">
        <v>256</v>
      </c>
      <c r="C278" s="1" t="s">
        <v>257</v>
      </c>
      <c r="D278" s="1" t="str">
        <f>+TagData[[#This Row],[TagName]]&amp;"_"&amp;TagData[[#This Row],[Description]]</f>
        <v>LIC37922_Level of Tar Conc Sep. S37902.03A</v>
      </c>
      <c r="E278" cm="1">
        <f t="array" aca="1" ref="E278" ca="1">IF(ISNUMBER(SEARCH(INDIRECT(CELL("address")),TagData[[#This Row],[Combined]])),MAX($E$1:E277)+1,0)</f>
        <v>0</v>
      </c>
      <c r="F278" s="1" t="str">
        <f ca="1">IFERROR(INDEX(TagData[],MATCH(ROWS(F$1:$G277),TagData[Search],0),4),"")</f>
        <v/>
      </c>
    </row>
    <row r="279" spans="1:6" x14ac:dyDescent="0.3">
      <c r="A279">
        <v>692</v>
      </c>
      <c r="B279" s="1" t="s">
        <v>254</v>
      </c>
      <c r="C279" s="1" t="s">
        <v>255</v>
      </c>
      <c r="D279" s="1" t="str">
        <f>+TagData[[#This Row],[TagName]]&amp;"_"&amp;TagData[[#This Row],[Description]]</f>
        <v>PIC37112_Pressue of C37101 Top</v>
      </c>
      <c r="E279" cm="1">
        <f t="array" aca="1" ref="E279" ca="1">IF(ISNUMBER(SEARCH(INDIRECT(CELL("address")),TagData[[#This Row],[Combined]])),MAX($E$1:E278)+1,0)</f>
        <v>0</v>
      </c>
      <c r="F279" s="1" t="str">
        <f ca="1">IFERROR(INDEX(TagData[],MATCH(ROWS(F$1:$G278),TagData[Search],0),4),"")</f>
        <v/>
      </c>
    </row>
    <row r="280" spans="1:6" x14ac:dyDescent="0.3">
      <c r="A280">
        <v>696</v>
      </c>
      <c r="B280" s="1" t="s">
        <v>256</v>
      </c>
      <c r="C280" s="1" t="s">
        <v>258</v>
      </c>
      <c r="D280" s="1" t="str">
        <f>+TagData[[#This Row],[TagName]]&amp;"_"&amp;TagData[[#This Row],[Description]]</f>
        <v xml:space="preserve">LIC37922_Level control of S37902.03A </v>
      </c>
      <c r="E280" cm="1">
        <f t="array" aca="1" ref="E280" ca="1">IF(ISNUMBER(SEARCH(INDIRECT(CELL("address")),TagData[[#This Row],[Combined]])),MAX($E$1:E279)+1,0)</f>
        <v>0</v>
      </c>
      <c r="F280" s="1" t="str">
        <f ca="1">IFERROR(INDEX(TagData[],MATCH(ROWS(F$1:$G279),TagData[Search],0),4),"")</f>
        <v/>
      </c>
    </row>
    <row r="281" spans="1:6" x14ac:dyDescent="0.3">
      <c r="A281">
        <v>697</v>
      </c>
      <c r="B281" s="1" t="s">
        <v>256</v>
      </c>
      <c r="C281" s="1" t="s">
        <v>257</v>
      </c>
      <c r="D281" s="1" t="str">
        <f>+TagData[[#This Row],[TagName]]&amp;"_"&amp;TagData[[#This Row],[Description]]</f>
        <v>LIC37922_Level of Tar Conc Sep. S37902.03A</v>
      </c>
      <c r="E281" cm="1">
        <f t="array" aca="1" ref="E281" ca="1">IF(ISNUMBER(SEARCH(INDIRECT(CELL("address")),TagData[[#This Row],[Combined]])),MAX($E$1:E280)+1,0)</f>
        <v>0</v>
      </c>
      <c r="F281" s="1" t="str">
        <f ca="1">IFERROR(INDEX(TagData[],MATCH(ROWS(F$1:$G280),TagData[Search],0),4),"")</f>
        <v/>
      </c>
    </row>
    <row r="282" spans="1:6" x14ac:dyDescent="0.3">
      <c r="A282">
        <v>702</v>
      </c>
      <c r="B282" s="1" t="s">
        <v>256</v>
      </c>
      <c r="C282" s="1" t="s">
        <v>258</v>
      </c>
      <c r="D282" s="1" t="str">
        <f>+TagData[[#This Row],[TagName]]&amp;"_"&amp;TagData[[#This Row],[Description]]</f>
        <v xml:space="preserve">LIC37922_Level control of S37902.03A </v>
      </c>
      <c r="E282" cm="1">
        <f t="array" aca="1" ref="E282" ca="1">IF(ISNUMBER(SEARCH(INDIRECT(CELL("address")),TagData[[#This Row],[Combined]])),MAX($E$1:E281)+1,0)</f>
        <v>0</v>
      </c>
      <c r="F282" s="1" t="str">
        <f ca="1">IFERROR(INDEX(TagData[],MATCH(ROWS(F$1:$G281),TagData[Search],0),4),"")</f>
        <v/>
      </c>
    </row>
    <row r="283" spans="1:6" x14ac:dyDescent="0.3">
      <c r="A283">
        <v>701</v>
      </c>
      <c r="B283" s="1" t="s">
        <v>259</v>
      </c>
      <c r="C283" s="1" t="s">
        <v>260</v>
      </c>
      <c r="D283" s="1" t="str">
        <f>+TagData[[#This Row],[TagName]]&amp;"_"&amp;TagData[[#This Row],[Description]]</f>
        <v>TI37927_Tempof Tar Conc. Sep S37902.03A</v>
      </c>
      <c r="E283" cm="1">
        <f t="array" aca="1" ref="E283" ca="1">IF(ISNUMBER(SEARCH(INDIRECT(CELL("address")),TagData[[#This Row],[Combined]])),MAX($E$1:E282)+1,0)</f>
        <v>0</v>
      </c>
      <c r="F283" s="1" t="str">
        <f ca="1">IFERROR(INDEX(TagData[],MATCH(ROWS(F$1:$G282),TagData[Search],0),4),"")</f>
        <v/>
      </c>
    </row>
    <row r="284" spans="1:6" x14ac:dyDescent="0.3">
      <c r="A284">
        <v>707</v>
      </c>
      <c r="B284" s="1" t="s">
        <v>259</v>
      </c>
      <c r="C284" s="1" t="s">
        <v>260</v>
      </c>
      <c r="D284" s="1" t="str">
        <f>+TagData[[#This Row],[TagName]]&amp;"_"&amp;TagData[[#This Row],[Description]]</f>
        <v>TI37927_Tempof Tar Conc. Sep S37902.03A</v>
      </c>
      <c r="E284" cm="1">
        <f t="array" aca="1" ref="E284" ca="1">IF(ISNUMBER(SEARCH(INDIRECT(CELL("address")),TagData[[#This Row],[Combined]])),MAX($E$1:E283)+1,0)</f>
        <v>0</v>
      </c>
      <c r="F284" s="1" t="str">
        <f ca="1">IFERROR(INDEX(TagData[],MATCH(ROWS(F$1:$G283),TagData[Search],0),4),"")</f>
        <v/>
      </c>
    </row>
    <row r="285" spans="1:6" x14ac:dyDescent="0.3">
      <c r="A285">
        <v>706</v>
      </c>
      <c r="B285" s="1" t="s">
        <v>261</v>
      </c>
      <c r="C285" s="1" t="s">
        <v>262</v>
      </c>
      <c r="D285" s="1" t="str">
        <f>+TagData[[#This Row],[TagName]]&amp;"_"&amp;TagData[[#This Row],[Description]]</f>
        <v>TI37928_Temp of Tar Conc Vac Pump B37902A</v>
      </c>
      <c r="E285" cm="1">
        <f t="array" aca="1" ref="E285" ca="1">IF(ISNUMBER(SEARCH(INDIRECT(CELL("address")),TagData[[#This Row],[Combined]])),MAX($E$1:E284)+1,0)</f>
        <v>0</v>
      </c>
      <c r="F285" s="1" t="str">
        <f ca="1">IFERROR(INDEX(TagData[],MATCH(ROWS(F$1:$G284),TagData[Search],0),4),"")</f>
        <v/>
      </c>
    </row>
    <row r="286" spans="1:6" x14ac:dyDescent="0.3">
      <c r="A286">
        <v>712</v>
      </c>
      <c r="B286" s="1" t="s">
        <v>261</v>
      </c>
      <c r="C286" s="1" t="s">
        <v>262</v>
      </c>
      <c r="D286" s="1" t="str">
        <f>+TagData[[#This Row],[TagName]]&amp;"_"&amp;TagData[[#This Row],[Description]]</f>
        <v>TI37928_Temp of Tar Conc Vac Pump B37902A</v>
      </c>
      <c r="E286" cm="1">
        <f t="array" aca="1" ref="E286" ca="1">IF(ISNUMBER(SEARCH(INDIRECT(CELL("address")),TagData[[#This Row],[Combined]])),MAX($E$1:E285)+1,0)</f>
        <v>0</v>
      </c>
      <c r="F286" s="1" t="str">
        <f ca="1">IFERROR(INDEX(TagData[],MATCH(ROWS(F$1:$G285),TagData[Search],0),4),"")</f>
        <v/>
      </c>
    </row>
    <row r="287" spans="1:6" x14ac:dyDescent="0.3">
      <c r="A287">
        <v>711</v>
      </c>
      <c r="B287" s="1" t="s">
        <v>263</v>
      </c>
      <c r="C287" s="1" t="s">
        <v>264</v>
      </c>
      <c r="D287" s="1" t="str">
        <f>+TagData[[#This Row],[TagName]]&amp;"_"&amp;TagData[[#This Row],[Description]]</f>
        <v xml:space="preserve">TI37937_Temp  E37902.02B inlet </v>
      </c>
      <c r="E287" cm="1">
        <f t="array" aca="1" ref="E287" ca="1">IF(ISNUMBER(SEARCH(INDIRECT(CELL("address")),TagData[[#This Row],[Combined]])),MAX($E$1:E286)+1,0)</f>
        <v>0</v>
      </c>
      <c r="F287" s="1" t="str">
        <f ca="1">IFERROR(INDEX(TagData[],MATCH(ROWS(F$1:$G286),TagData[Search],0),4),"")</f>
        <v/>
      </c>
    </row>
    <row r="288" spans="1:6" x14ac:dyDescent="0.3">
      <c r="A288">
        <v>717</v>
      </c>
      <c r="B288" s="1" t="s">
        <v>263</v>
      </c>
      <c r="C288" s="1" t="s">
        <v>264</v>
      </c>
      <c r="D288" s="1" t="str">
        <f>+TagData[[#This Row],[TagName]]&amp;"_"&amp;TagData[[#This Row],[Description]]</f>
        <v xml:space="preserve">TI37937_Temp  E37902.02B inlet </v>
      </c>
      <c r="E288" cm="1">
        <f t="array" aca="1" ref="E288" ca="1">IF(ISNUMBER(SEARCH(INDIRECT(CELL("address")),TagData[[#This Row],[Combined]])),MAX($E$1:E287)+1,0)</f>
        <v>0</v>
      </c>
      <c r="F288" s="1" t="str">
        <f ca="1">IFERROR(INDEX(TagData[],MATCH(ROWS(F$1:$G287),TagData[Search],0),4),"")</f>
        <v/>
      </c>
    </row>
    <row r="289" spans="1:6" x14ac:dyDescent="0.3">
      <c r="A289">
        <v>716</v>
      </c>
      <c r="B289" s="1" t="s">
        <v>265</v>
      </c>
      <c r="C289" s="1" t="s">
        <v>266</v>
      </c>
      <c r="D289" s="1" t="str">
        <f>+TagData[[#This Row],[TagName]]&amp;"_"&amp;TagData[[#This Row],[Description]]</f>
        <v>TI37982_Temp  WCR from E37902.02A</v>
      </c>
      <c r="E289" cm="1">
        <f t="array" aca="1" ref="E289" ca="1">IF(ISNUMBER(SEARCH(INDIRECT(CELL("address")),TagData[[#This Row],[Combined]])),MAX($E$1:E288)+1,0)</f>
        <v>0</v>
      </c>
      <c r="F289" s="1" t="str">
        <f ca="1">IFERROR(INDEX(TagData[],MATCH(ROWS(F$1:$G288),TagData[Search],0),4),"")</f>
        <v/>
      </c>
    </row>
    <row r="290" spans="1:6" x14ac:dyDescent="0.3">
      <c r="A290">
        <v>722</v>
      </c>
      <c r="B290" s="1" t="s">
        <v>265</v>
      </c>
      <c r="C290" s="1" t="s">
        <v>266</v>
      </c>
      <c r="D290" s="1" t="str">
        <f>+TagData[[#This Row],[TagName]]&amp;"_"&amp;TagData[[#This Row],[Description]]</f>
        <v>TI37982_Temp  WCR from E37902.02A</v>
      </c>
      <c r="E290" cm="1">
        <f t="array" aca="1" ref="E290" ca="1">IF(ISNUMBER(SEARCH(INDIRECT(CELL("address")),TagData[[#This Row],[Combined]])),MAX($E$1:E289)+1,0)</f>
        <v>0</v>
      </c>
      <c r="F290" s="1" t="str">
        <f ca="1">IFERROR(INDEX(TagData[],MATCH(ROWS(F$1:$G289),TagData[Search],0),4),"")</f>
        <v/>
      </c>
    </row>
    <row r="291" spans="1:6" x14ac:dyDescent="0.3">
      <c r="A291">
        <v>721</v>
      </c>
      <c r="B291" s="1" t="s">
        <v>267</v>
      </c>
      <c r="C291" s="1" t="s">
        <v>268</v>
      </c>
      <c r="D291" s="1" t="str">
        <f>+TagData[[#This Row],[TagName]]&amp;"_"&amp;TagData[[#This Row],[Description]]</f>
        <v xml:space="preserve">TIC37936_Temp  Control E37902.02B </v>
      </c>
      <c r="E291" cm="1">
        <f t="array" aca="1" ref="E291" ca="1">IF(ISNUMBER(SEARCH(INDIRECT(CELL("address")),TagData[[#This Row],[Combined]])),MAX($E$1:E290)+1,0)</f>
        <v>0</v>
      </c>
      <c r="F291" s="1" t="str">
        <f ca="1">IFERROR(INDEX(TagData[],MATCH(ROWS(F$1:$G290),TagData[Search],0),4),"")</f>
        <v/>
      </c>
    </row>
    <row r="292" spans="1:6" x14ac:dyDescent="0.3">
      <c r="A292">
        <v>727</v>
      </c>
      <c r="B292" s="1" t="s">
        <v>267</v>
      </c>
      <c r="C292" s="1" t="s">
        <v>268</v>
      </c>
      <c r="D292" s="1" t="str">
        <f>+TagData[[#This Row],[TagName]]&amp;"_"&amp;TagData[[#This Row],[Description]]</f>
        <v xml:space="preserve">TIC37936_Temp  Control E37902.02B </v>
      </c>
      <c r="E292" cm="1">
        <f t="array" aca="1" ref="E292" ca="1">IF(ISNUMBER(SEARCH(INDIRECT(CELL("address")),TagData[[#This Row],[Combined]])),MAX($E$1:E291)+1,0)</f>
        <v>0</v>
      </c>
      <c r="F292" s="1" t="str">
        <f ca="1">IFERROR(INDEX(TagData[],MATCH(ROWS(F$1:$G291),TagData[Search],0),4),"")</f>
        <v/>
      </c>
    </row>
    <row r="293" spans="1:6" x14ac:dyDescent="0.3">
      <c r="A293">
        <v>726</v>
      </c>
      <c r="B293" s="1" t="s">
        <v>267</v>
      </c>
      <c r="C293" s="1" t="s">
        <v>269</v>
      </c>
      <c r="D293" s="1" t="str">
        <f>+TagData[[#This Row],[TagName]]&amp;"_"&amp;TagData[[#This Row],[Description]]</f>
        <v xml:space="preserve">TIC37936_Temperature Control E37902.02B </v>
      </c>
      <c r="E293" cm="1">
        <f t="array" aca="1" ref="E293" ca="1">IF(ISNUMBER(SEARCH(INDIRECT(CELL("address")),TagData[[#This Row],[Combined]])),MAX($E$1:E292)+1,0)</f>
        <v>0</v>
      </c>
      <c r="F293" s="1" t="str">
        <f ca="1">IFERROR(INDEX(TagData[],MATCH(ROWS(F$1:$G292),TagData[Search],0),4),"")</f>
        <v/>
      </c>
    </row>
    <row r="294" spans="1:6" x14ac:dyDescent="0.3">
      <c r="A294">
        <v>731</v>
      </c>
      <c r="B294" s="1" t="s">
        <v>270</v>
      </c>
      <c r="C294" s="1" t="s">
        <v>271</v>
      </c>
      <c r="D294" s="1" t="str">
        <f>+TagData[[#This Row],[TagName]]&amp;"_"&amp;TagData[[#This Row],[Description]]</f>
        <v>FI37930_Flow frm E37902.02A to B37902B</v>
      </c>
      <c r="E294" cm="1">
        <f t="array" aca="1" ref="E294" ca="1">IF(ISNUMBER(SEARCH(INDIRECT(CELL("address")),TagData[[#This Row],[Combined]])),MAX($E$1:E293)+1,0)</f>
        <v>0</v>
      </c>
      <c r="F294" s="1" t="str">
        <f ca="1">IFERROR(INDEX(TagData[],MATCH(ROWS(F$1:$G293),TagData[Search],0),4),"")</f>
        <v/>
      </c>
    </row>
    <row r="295" spans="1:6" x14ac:dyDescent="0.3">
      <c r="A295">
        <v>732</v>
      </c>
      <c r="B295" s="1" t="s">
        <v>267</v>
      </c>
      <c r="C295" s="1" t="s">
        <v>269</v>
      </c>
      <c r="D295" s="1" t="str">
        <f>+TagData[[#This Row],[TagName]]&amp;"_"&amp;TagData[[#This Row],[Description]]</f>
        <v xml:space="preserve">TIC37936_Temperature Control E37902.02B </v>
      </c>
      <c r="E295" cm="1">
        <f t="array" aca="1" ref="E295" ca="1">IF(ISNUMBER(SEARCH(INDIRECT(CELL("address")),TagData[[#This Row],[Combined]])),MAX($E$1:E294)+1,0)</f>
        <v>0</v>
      </c>
      <c r="F295" s="1" t="str">
        <f ca="1">IFERROR(INDEX(TagData[],MATCH(ROWS(F$1:$G294),TagData[Search],0),4),"")</f>
        <v/>
      </c>
    </row>
    <row r="296" spans="1:6" x14ac:dyDescent="0.3">
      <c r="A296">
        <v>737</v>
      </c>
      <c r="B296" s="1" t="s">
        <v>270</v>
      </c>
      <c r="C296" s="1" t="s">
        <v>271</v>
      </c>
      <c r="D296" s="1" t="str">
        <f>+TagData[[#This Row],[TagName]]&amp;"_"&amp;TagData[[#This Row],[Description]]</f>
        <v>FI37930_Flow frm E37902.02A to B37902B</v>
      </c>
      <c r="E296" cm="1">
        <f t="array" aca="1" ref="E296" ca="1">IF(ISNUMBER(SEARCH(INDIRECT(CELL("address")),TagData[[#This Row],[Combined]])),MAX($E$1:E295)+1,0)</f>
        <v>0</v>
      </c>
      <c r="F296" s="1" t="str">
        <f ca="1">IFERROR(INDEX(TagData[],MATCH(ROWS(F$1:$G295),TagData[Search],0),4),"")</f>
        <v/>
      </c>
    </row>
    <row r="297" spans="1:6" x14ac:dyDescent="0.3">
      <c r="A297">
        <v>736</v>
      </c>
      <c r="B297" s="1" t="s">
        <v>272</v>
      </c>
      <c r="C297" s="1" t="s">
        <v>273</v>
      </c>
      <c r="D297" s="1" t="str">
        <f>+TagData[[#This Row],[TagName]]&amp;"_"&amp;TagData[[#This Row],[Description]]</f>
        <v>LIC37932_Level  Purification Sep S37904.03A</v>
      </c>
      <c r="E297" cm="1">
        <f t="array" aca="1" ref="E297" ca="1">IF(ISNUMBER(SEARCH(INDIRECT(CELL("address")),TagData[[#This Row],[Combined]])),MAX($E$1:E296)+1,0)</f>
        <v>0</v>
      </c>
      <c r="F297" s="1" t="str">
        <f ca="1">IFERROR(INDEX(TagData[],MATCH(ROWS(F$1:$G296),TagData[Search],0),4),"")</f>
        <v/>
      </c>
    </row>
    <row r="298" spans="1:6" x14ac:dyDescent="0.3">
      <c r="A298">
        <v>741</v>
      </c>
      <c r="B298" s="1" t="s">
        <v>272</v>
      </c>
      <c r="C298" s="1" t="s">
        <v>274</v>
      </c>
      <c r="D298" s="1" t="str">
        <f>+TagData[[#This Row],[TagName]]&amp;"_"&amp;TagData[[#This Row],[Description]]</f>
        <v>LIC37932_ Level Control of S37902.03B</v>
      </c>
      <c r="E298" cm="1">
        <f t="array" aca="1" ref="E298" ca="1">IF(ISNUMBER(SEARCH(INDIRECT(CELL("address")),TagData[[#This Row],[Combined]])),MAX($E$1:E297)+1,0)</f>
        <v>0</v>
      </c>
      <c r="F298" s="1" t="str">
        <f ca="1">IFERROR(INDEX(TagData[],MATCH(ROWS(F$1:$G297),TagData[Search],0),4),"")</f>
        <v/>
      </c>
    </row>
    <row r="299" spans="1:6" x14ac:dyDescent="0.3">
      <c r="A299">
        <v>742</v>
      </c>
      <c r="B299" s="1" t="s">
        <v>272</v>
      </c>
      <c r="C299" s="1" t="s">
        <v>273</v>
      </c>
      <c r="D299" s="1" t="str">
        <f>+TagData[[#This Row],[TagName]]&amp;"_"&amp;TagData[[#This Row],[Description]]</f>
        <v>LIC37932_Level  Purification Sep S37904.03A</v>
      </c>
      <c r="E299" cm="1">
        <f t="array" aca="1" ref="E299" ca="1">IF(ISNUMBER(SEARCH(INDIRECT(CELL("address")),TagData[[#This Row],[Combined]])),MAX($E$1:E298)+1,0)</f>
        <v>0</v>
      </c>
      <c r="F299" s="1" t="str">
        <f ca="1">IFERROR(INDEX(TagData[],MATCH(ROWS(F$1:$G298),TagData[Search],0),4),"")</f>
        <v/>
      </c>
    </row>
    <row r="300" spans="1:6" x14ac:dyDescent="0.3">
      <c r="A300">
        <v>746</v>
      </c>
      <c r="B300" s="1" t="s">
        <v>275</v>
      </c>
      <c r="C300" s="1" t="s">
        <v>276</v>
      </c>
      <c r="D300" s="1" t="str">
        <f>+TagData[[#This Row],[TagName]]&amp;"_"&amp;TagData[[#This Row],[Description]]</f>
        <v>FI37940_Flow frm E37902.02B to B37902B</v>
      </c>
      <c r="E300" cm="1">
        <f t="array" aca="1" ref="E300" ca="1">IF(ISNUMBER(SEARCH(INDIRECT(CELL("address")),TagData[[#This Row],[Combined]])),MAX($E$1:E299)+1,0)</f>
        <v>0</v>
      </c>
      <c r="F300" s="1" t="str">
        <f ca="1">IFERROR(INDEX(TagData[],MATCH(ROWS(F$1:$G299),TagData[Search],0),4),"")</f>
        <v/>
      </c>
    </row>
    <row r="301" spans="1:6" x14ac:dyDescent="0.3">
      <c r="A301">
        <v>747</v>
      </c>
      <c r="B301" s="1" t="s">
        <v>272</v>
      </c>
      <c r="C301" s="1" t="s">
        <v>274</v>
      </c>
      <c r="D301" s="1" t="str">
        <f>+TagData[[#This Row],[TagName]]&amp;"_"&amp;TagData[[#This Row],[Description]]</f>
        <v>LIC37932_ Level Control of S37902.03B</v>
      </c>
      <c r="E301" cm="1">
        <f t="array" aca="1" ref="E301" ca="1">IF(ISNUMBER(SEARCH(INDIRECT(CELL("address")),TagData[[#This Row],[Combined]])),MAX($E$1:E300)+1,0)</f>
        <v>0</v>
      </c>
      <c r="F301" s="1" t="str">
        <f ca="1">IFERROR(INDEX(TagData[],MATCH(ROWS(F$1:$G300),TagData[Search],0),4),"")</f>
        <v/>
      </c>
    </row>
    <row r="302" spans="1:6" x14ac:dyDescent="0.3">
      <c r="A302">
        <v>752</v>
      </c>
      <c r="B302" s="1" t="s">
        <v>275</v>
      </c>
      <c r="C302" s="1" t="s">
        <v>276</v>
      </c>
      <c r="D302" s="1" t="str">
        <f>+TagData[[#This Row],[TagName]]&amp;"_"&amp;TagData[[#This Row],[Description]]</f>
        <v>FI37940_Flow frm E37902.02B to B37902B</v>
      </c>
      <c r="E302" cm="1">
        <f t="array" aca="1" ref="E302" ca="1">IF(ISNUMBER(SEARCH(INDIRECT(CELL("address")),TagData[[#This Row],[Combined]])),MAX($E$1:E301)+1,0)</f>
        <v>0</v>
      </c>
      <c r="F302" s="1" t="str">
        <f ca="1">IFERROR(INDEX(TagData[],MATCH(ROWS(F$1:$G301),TagData[Search],0),4),"")</f>
        <v/>
      </c>
    </row>
    <row r="303" spans="1:6" x14ac:dyDescent="0.3">
      <c r="A303">
        <v>751</v>
      </c>
      <c r="B303" s="1" t="s">
        <v>277</v>
      </c>
      <c r="C303" s="1" t="s">
        <v>278</v>
      </c>
      <c r="D303" s="1" t="str">
        <f>+TagData[[#This Row],[TagName]]&amp;"_"&amp;TagData[[#This Row],[Description]]</f>
        <v xml:space="preserve">PIC37934_Pressure Control B37902B </v>
      </c>
      <c r="E303" cm="1">
        <f t="array" aca="1" ref="E303" ca="1">IF(ISNUMBER(SEARCH(INDIRECT(CELL("address")),TagData[[#This Row],[Combined]])),MAX($E$1:E302)+1,0)</f>
        <v>0</v>
      </c>
      <c r="F303" s="1" t="str">
        <f ca="1">IFERROR(INDEX(TagData[],MATCH(ROWS(F$1:$G302),TagData[Search],0),4),"")</f>
        <v/>
      </c>
    </row>
    <row r="304" spans="1:6" x14ac:dyDescent="0.3">
      <c r="A304">
        <v>757</v>
      </c>
      <c r="B304" s="1" t="s">
        <v>277</v>
      </c>
      <c r="C304" s="1" t="s">
        <v>278</v>
      </c>
      <c r="D304" s="1" t="str">
        <f>+TagData[[#This Row],[TagName]]&amp;"_"&amp;TagData[[#This Row],[Description]]</f>
        <v xml:space="preserve">PIC37934_Pressure Control B37902B </v>
      </c>
      <c r="E304" cm="1">
        <f t="array" aca="1" ref="E304" ca="1">IF(ISNUMBER(SEARCH(INDIRECT(CELL("address")),TagData[[#This Row],[Combined]])),MAX($E$1:E303)+1,0)</f>
        <v>0</v>
      </c>
      <c r="F304" s="1" t="str">
        <f ca="1">IFERROR(INDEX(TagData[],MATCH(ROWS(F$1:$G303),TagData[Search],0),4),"")</f>
        <v/>
      </c>
    </row>
    <row r="305" spans="1:6" x14ac:dyDescent="0.3">
      <c r="A305">
        <v>756</v>
      </c>
      <c r="B305" s="1" t="s">
        <v>277</v>
      </c>
      <c r="C305" s="1" t="s">
        <v>279</v>
      </c>
      <c r="D305" s="1" t="str">
        <f>+TagData[[#This Row],[TagName]]&amp;"_"&amp;TagData[[#This Row],[Description]]</f>
        <v>PIC37934_Pressure Control B37902B _1</v>
      </c>
      <c r="E305" cm="1">
        <f t="array" aca="1" ref="E305" ca="1">IF(ISNUMBER(SEARCH(INDIRECT(CELL("address")),TagData[[#This Row],[Combined]])),MAX($E$1:E304)+1,0)</f>
        <v>0</v>
      </c>
      <c r="F305" s="1" t="str">
        <f ca="1">IFERROR(INDEX(TagData[],MATCH(ROWS(F$1:$G304),TagData[Search],0),4),"")</f>
        <v/>
      </c>
    </row>
    <row r="306" spans="1:6" x14ac:dyDescent="0.3">
      <c r="A306">
        <v>762</v>
      </c>
      <c r="B306" s="1" t="s">
        <v>277</v>
      </c>
      <c r="C306" s="1" t="s">
        <v>279</v>
      </c>
      <c r="D306" s="1" t="str">
        <f>+TagData[[#This Row],[TagName]]&amp;"_"&amp;TagData[[#This Row],[Description]]</f>
        <v>PIC37934_Pressure Control B37902B _1</v>
      </c>
      <c r="E306" cm="1">
        <f t="array" aca="1" ref="E306" ca="1">IF(ISNUMBER(SEARCH(INDIRECT(CELL("address")),TagData[[#This Row],[Combined]])),MAX($E$1:E305)+1,0)</f>
        <v>0</v>
      </c>
      <c r="F306" s="1" t="str">
        <f ca="1">IFERROR(INDEX(TagData[],MATCH(ROWS(F$1:$G305),TagData[Search],0),4),"")</f>
        <v/>
      </c>
    </row>
    <row r="307" spans="1:6" x14ac:dyDescent="0.3">
      <c r="A307">
        <v>761</v>
      </c>
      <c r="B307" s="1" t="s">
        <v>280</v>
      </c>
      <c r="C307" s="1" t="s">
        <v>281</v>
      </c>
      <c r="D307" s="1" t="str">
        <f>+TagData[[#This Row],[TagName]]&amp;"_"&amp;TagData[[#This Row],[Description]]</f>
        <v>TI37935_Temp of Tar Conc Vac Pump B37902B</v>
      </c>
      <c r="E307" cm="1">
        <f t="array" aca="1" ref="E307" ca="1">IF(ISNUMBER(SEARCH(INDIRECT(CELL("address")),TagData[[#This Row],[Combined]])),MAX($E$1:E306)+1,0)</f>
        <v>0</v>
      </c>
      <c r="F307" s="1" t="str">
        <f ca="1">IFERROR(INDEX(TagData[],MATCH(ROWS(F$1:$G306),TagData[Search],0),4),"")</f>
        <v/>
      </c>
    </row>
    <row r="308" spans="1:6" x14ac:dyDescent="0.3">
      <c r="A308">
        <v>767</v>
      </c>
      <c r="B308" s="1" t="s">
        <v>280</v>
      </c>
      <c r="C308" s="1" t="s">
        <v>281</v>
      </c>
      <c r="D308" s="1" t="str">
        <f>+TagData[[#This Row],[TagName]]&amp;"_"&amp;TagData[[#This Row],[Description]]</f>
        <v>TI37935_Temp of Tar Conc Vac Pump B37902B</v>
      </c>
      <c r="E308" cm="1">
        <f t="array" aca="1" ref="E308" ca="1">IF(ISNUMBER(SEARCH(INDIRECT(CELL("address")),TagData[[#This Row],[Combined]])),MAX($E$1:E307)+1,0)</f>
        <v>0</v>
      </c>
      <c r="F308" s="1" t="str">
        <f ca="1">IFERROR(INDEX(TagData[],MATCH(ROWS(F$1:$G307),TagData[Search],0),4),"")</f>
        <v/>
      </c>
    </row>
    <row r="309" spans="1:6" x14ac:dyDescent="0.3">
      <c r="A309">
        <v>766</v>
      </c>
      <c r="B309" s="1" t="s">
        <v>282</v>
      </c>
      <c r="C309" s="1" t="s">
        <v>283</v>
      </c>
      <c r="D309" s="1" t="str">
        <f>+TagData[[#This Row],[TagName]]&amp;"_"&amp;TagData[[#This Row],[Description]]</f>
        <v>TI37983_Temperature of WCR from E37902.02B</v>
      </c>
      <c r="E309" cm="1">
        <f t="array" aca="1" ref="E309" ca="1">IF(ISNUMBER(SEARCH(INDIRECT(CELL("address")),TagData[[#This Row],[Combined]])),MAX($E$1:E308)+1,0)</f>
        <v>0</v>
      </c>
      <c r="F309" s="1" t="str">
        <f ca="1">IFERROR(INDEX(TagData[],MATCH(ROWS(F$1:$G308),TagData[Search],0),4),"")</f>
        <v/>
      </c>
    </row>
    <row r="310" spans="1:6" x14ac:dyDescent="0.3">
      <c r="A310">
        <v>771</v>
      </c>
      <c r="B310" s="1" t="s">
        <v>284</v>
      </c>
      <c r="C310" s="1" t="s">
        <v>285</v>
      </c>
      <c r="D310" s="1" t="str">
        <f>+TagData[[#This Row],[TagName]]&amp;"_"&amp;TagData[[#This Row],[Description]]</f>
        <v xml:space="preserve">PIC37924_Pressure Control B37902A </v>
      </c>
      <c r="E310" cm="1">
        <f t="array" aca="1" ref="E310" ca="1">IF(ISNUMBER(SEARCH(INDIRECT(CELL("address")),TagData[[#This Row],[Combined]])),MAX($E$1:E309)+1,0)</f>
        <v>0</v>
      </c>
      <c r="F310" s="1" t="str">
        <f ca="1">IFERROR(INDEX(TagData[],MATCH(ROWS(F$1:$G309),TagData[Search],0),4),"")</f>
        <v/>
      </c>
    </row>
    <row r="311" spans="1:6" x14ac:dyDescent="0.3">
      <c r="A311">
        <v>772</v>
      </c>
      <c r="B311" s="1" t="s">
        <v>282</v>
      </c>
      <c r="C311" s="1" t="s">
        <v>283</v>
      </c>
      <c r="D311" s="1" t="str">
        <f>+TagData[[#This Row],[TagName]]&amp;"_"&amp;TagData[[#This Row],[Description]]</f>
        <v>TI37983_Temperature of WCR from E37902.02B</v>
      </c>
      <c r="E311" cm="1">
        <f t="array" aca="1" ref="E311" ca="1">IF(ISNUMBER(SEARCH(INDIRECT(CELL("address")),TagData[[#This Row],[Combined]])),MAX($E$1:E310)+1,0)</f>
        <v>0</v>
      </c>
      <c r="F311" s="1" t="str">
        <f ca="1">IFERROR(INDEX(TagData[],MATCH(ROWS(F$1:$G310),TagData[Search],0),4),"")</f>
        <v/>
      </c>
    </row>
    <row r="312" spans="1:6" x14ac:dyDescent="0.3">
      <c r="A312">
        <v>777</v>
      </c>
      <c r="B312" s="1" t="s">
        <v>284</v>
      </c>
      <c r="C312" s="1" t="s">
        <v>285</v>
      </c>
      <c r="D312" s="1" t="str">
        <f>+TagData[[#This Row],[TagName]]&amp;"_"&amp;TagData[[#This Row],[Description]]</f>
        <v xml:space="preserve">PIC37924_Pressure Control B37902A </v>
      </c>
      <c r="E312" cm="1">
        <f t="array" aca="1" ref="E312" ca="1">IF(ISNUMBER(SEARCH(INDIRECT(CELL("address")),TagData[[#This Row],[Combined]])),MAX($E$1:E311)+1,0)</f>
        <v>0</v>
      </c>
      <c r="F312" s="1" t="str">
        <f ca="1">IFERROR(INDEX(TagData[],MATCH(ROWS(F$1:$G311),TagData[Search],0),4),"")</f>
        <v/>
      </c>
    </row>
    <row r="313" spans="1:6" x14ac:dyDescent="0.3">
      <c r="A313">
        <v>776</v>
      </c>
      <c r="B313" s="1" t="s">
        <v>284</v>
      </c>
      <c r="C313" s="1" t="s">
        <v>286</v>
      </c>
      <c r="D313" s="1" t="str">
        <f>+TagData[[#This Row],[TagName]]&amp;"_"&amp;TagData[[#This Row],[Description]]</f>
        <v>PIC37924_Pressure Control B37902A _1</v>
      </c>
      <c r="E313" cm="1">
        <f t="array" aca="1" ref="E313" ca="1">IF(ISNUMBER(SEARCH(INDIRECT(CELL("address")),TagData[[#This Row],[Combined]])),MAX($E$1:E312)+1,0)</f>
        <v>0</v>
      </c>
      <c r="F313" s="1" t="str">
        <f ca="1">IFERROR(INDEX(TagData[],MATCH(ROWS(F$1:$G312),TagData[Search],0),4),"")</f>
        <v/>
      </c>
    </row>
    <row r="314" spans="1:6" x14ac:dyDescent="0.3">
      <c r="A314">
        <v>782</v>
      </c>
      <c r="B314" s="1" t="s">
        <v>284</v>
      </c>
      <c r="C314" s="1" t="s">
        <v>286</v>
      </c>
      <c r="D314" s="1" t="str">
        <f>+TagData[[#This Row],[TagName]]&amp;"_"&amp;TagData[[#This Row],[Description]]</f>
        <v>PIC37924_Pressure Control B37902A _1</v>
      </c>
      <c r="E314" cm="1">
        <f t="array" aca="1" ref="E314" ca="1">IF(ISNUMBER(SEARCH(INDIRECT(CELL("address")),TagData[[#This Row],[Combined]])),MAX($E$1:E313)+1,0)</f>
        <v>0</v>
      </c>
      <c r="F314" s="1" t="str">
        <f ca="1">IFERROR(INDEX(TagData[],MATCH(ROWS(F$1:$G313),TagData[Search],0),4),"")</f>
        <v/>
      </c>
    </row>
    <row r="315" spans="1:6" x14ac:dyDescent="0.3">
      <c r="A315">
        <v>781</v>
      </c>
      <c r="B315" s="1" t="s">
        <v>287</v>
      </c>
      <c r="C315" s="1" t="s">
        <v>288</v>
      </c>
      <c r="D315" s="1" t="str">
        <f>+TagData[[#This Row],[TagName]]&amp;"_"&amp;TagData[[#This Row],[Description]]</f>
        <v>TIC37926_Temp of Tar Conc Cooler E37902.02A</v>
      </c>
      <c r="E315" cm="1">
        <f t="array" aca="1" ref="E315" ca="1">IF(ISNUMBER(SEARCH(INDIRECT(CELL("address")),TagData[[#This Row],[Combined]])),MAX($E$1:E314)+1,0)</f>
        <v>0</v>
      </c>
      <c r="F315" s="1" t="str">
        <f ca="1">IFERROR(INDEX(TagData[],MATCH(ROWS(F$1:$G314),TagData[Search],0),4),"")</f>
        <v/>
      </c>
    </row>
    <row r="316" spans="1:6" x14ac:dyDescent="0.3">
      <c r="A316">
        <v>787</v>
      </c>
      <c r="B316" s="1" t="s">
        <v>287</v>
      </c>
      <c r="C316" s="1" t="s">
        <v>288</v>
      </c>
      <c r="D316" s="1" t="str">
        <f>+TagData[[#This Row],[TagName]]&amp;"_"&amp;TagData[[#This Row],[Description]]</f>
        <v>TIC37926_Temp of Tar Conc Cooler E37902.02A</v>
      </c>
      <c r="E316" cm="1">
        <f t="array" aca="1" ref="E316" ca="1">IF(ISNUMBER(SEARCH(INDIRECT(CELL("address")),TagData[[#This Row],[Combined]])),MAX($E$1:E315)+1,0)</f>
        <v>0</v>
      </c>
      <c r="F316" s="1" t="str">
        <f ca="1">IFERROR(INDEX(TagData[],MATCH(ROWS(F$1:$G315),TagData[Search],0),4),"")</f>
        <v/>
      </c>
    </row>
    <row r="317" spans="1:6" x14ac:dyDescent="0.3">
      <c r="A317">
        <v>786</v>
      </c>
      <c r="B317" s="1" t="s">
        <v>287</v>
      </c>
      <c r="C317" s="1" t="s">
        <v>289</v>
      </c>
      <c r="D317" s="1" t="str">
        <f>+TagData[[#This Row],[TagName]]&amp;"_"&amp;TagData[[#This Row],[Description]]</f>
        <v>TIC37926_Temperature Control of E37902.02A</v>
      </c>
      <c r="E317" cm="1">
        <f t="array" aca="1" ref="E317" ca="1">IF(ISNUMBER(SEARCH(INDIRECT(CELL("address")),TagData[[#This Row],[Combined]])),MAX($E$1:E316)+1,0)</f>
        <v>0</v>
      </c>
      <c r="F317" s="1" t="str">
        <f ca="1">IFERROR(INDEX(TagData[],MATCH(ROWS(F$1:$G316),TagData[Search],0),4),"")</f>
        <v/>
      </c>
    </row>
    <row r="318" spans="1:6" x14ac:dyDescent="0.3">
      <c r="A318">
        <v>791</v>
      </c>
      <c r="B318" s="1" t="s">
        <v>290</v>
      </c>
      <c r="C318" s="1" t="s">
        <v>291</v>
      </c>
      <c r="D318" s="1" t="str">
        <f>+TagData[[#This Row],[TagName]]&amp;"_"&amp;TagData[[#This Row],[Description]]</f>
        <v>FIC37929_ Flow of ODCB to B37902A</v>
      </c>
      <c r="E318" cm="1">
        <f t="array" aca="1" ref="E318" ca="1">IF(ISNUMBER(SEARCH(INDIRECT(CELL("address")),TagData[[#This Row],[Combined]])),MAX($E$1:E317)+1,0)</f>
        <v>0</v>
      </c>
      <c r="F318" s="1" t="str">
        <f ca="1">IFERROR(INDEX(TagData[],MATCH(ROWS(F$1:$G317),TagData[Search],0),4),"")</f>
        <v/>
      </c>
    </row>
    <row r="319" spans="1:6" x14ac:dyDescent="0.3">
      <c r="A319">
        <v>792</v>
      </c>
      <c r="B319" s="1" t="s">
        <v>287</v>
      </c>
      <c r="C319" s="1" t="s">
        <v>289</v>
      </c>
      <c r="D319" s="1" t="str">
        <f>+TagData[[#This Row],[TagName]]&amp;"_"&amp;TagData[[#This Row],[Description]]</f>
        <v>TIC37926_Temperature Control of E37902.02A</v>
      </c>
      <c r="E319" cm="1">
        <f t="array" aca="1" ref="E319" ca="1">IF(ISNUMBER(SEARCH(INDIRECT(CELL("address")),TagData[[#This Row],[Combined]])),MAX($E$1:E318)+1,0)</f>
        <v>0</v>
      </c>
      <c r="F319" s="1" t="str">
        <f ca="1">IFERROR(INDEX(TagData[],MATCH(ROWS(F$1:$G318),TagData[Search],0),4),"")</f>
        <v/>
      </c>
    </row>
    <row r="320" spans="1:6" x14ac:dyDescent="0.3">
      <c r="A320">
        <v>796</v>
      </c>
      <c r="B320" s="1" t="s">
        <v>290</v>
      </c>
      <c r="C320" s="1" t="s">
        <v>292</v>
      </c>
      <c r="D320" s="1" t="str">
        <f>+TagData[[#This Row],[TagName]]&amp;"_"&amp;TagData[[#This Row],[Description]]</f>
        <v>FIC37929_ Flow control of ODCB to B37902A</v>
      </c>
      <c r="E320" cm="1">
        <f t="array" aca="1" ref="E320" ca="1">IF(ISNUMBER(SEARCH(INDIRECT(CELL("address")),TagData[[#This Row],[Combined]])),MAX($E$1:E319)+1,0)</f>
        <v>0</v>
      </c>
      <c r="F320" s="1" t="str">
        <f ca="1">IFERROR(INDEX(TagData[],MATCH(ROWS(F$1:$G319),TagData[Search],0),4),"")</f>
        <v/>
      </c>
    </row>
    <row r="321" spans="1:6" x14ac:dyDescent="0.3">
      <c r="A321">
        <v>797</v>
      </c>
      <c r="B321" s="1" t="s">
        <v>290</v>
      </c>
      <c r="C321" s="1" t="s">
        <v>291</v>
      </c>
      <c r="D321" s="1" t="str">
        <f>+TagData[[#This Row],[TagName]]&amp;"_"&amp;TagData[[#This Row],[Description]]</f>
        <v>FIC37929_ Flow of ODCB to B37902A</v>
      </c>
      <c r="E321" cm="1">
        <f t="array" aca="1" ref="E321" ca="1">IF(ISNUMBER(SEARCH(INDIRECT(CELL("address")),TagData[[#This Row],[Combined]])),MAX($E$1:E320)+1,0)</f>
        <v>0</v>
      </c>
      <c r="F321" s="1" t="str">
        <f ca="1">IFERROR(INDEX(TagData[],MATCH(ROWS(F$1:$G320),TagData[Search],0),4),"")</f>
        <v/>
      </c>
    </row>
    <row r="322" spans="1:6" x14ac:dyDescent="0.3">
      <c r="A322">
        <v>802</v>
      </c>
      <c r="B322" s="1" t="s">
        <v>290</v>
      </c>
      <c r="C322" s="1" t="s">
        <v>292</v>
      </c>
      <c r="D322" s="1" t="str">
        <f>+TagData[[#This Row],[TagName]]&amp;"_"&amp;TagData[[#This Row],[Description]]</f>
        <v>FIC37929_ Flow control of ODCB to B37902A</v>
      </c>
      <c r="E322" cm="1">
        <f t="array" aca="1" ref="E322" ca="1">IF(ISNUMBER(SEARCH(INDIRECT(CELL("address")),TagData[[#This Row],[Combined]])),MAX($E$1:E321)+1,0)</f>
        <v>0</v>
      </c>
      <c r="F322" s="1" t="str">
        <f ca="1">IFERROR(INDEX(TagData[],MATCH(ROWS(F$1:$G321),TagData[Search],0),4),"")</f>
        <v/>
      </c>
    </row>
    <row r="323" spans="1:6" x14ac:dyDescent="0.3">
      <c r="A323">
        <v>801</v>
      </c>
      <c r="B323" s="1" t="s">
        <v>293</v>
      </c>
      <c r="C323" s="1" t="s">
        <v>294</v>
      </c>
      <c r="D323" s="1" t="str">
        <f>+TagData[[#This Row],[TagName]]&amp;"_"&amp;TagData[[#This Row],[Description]]</f>
        <v>FIC37939_ Flow of ODCB to B37902B</v>
      </c>
      <c r="E323" cm="1">
        <f t="array" aca="1" ref="E323" ca="1">IF(ISNUMBER(SEARCH(INDIRECT(CELL("address")),TagData[[#This Row],[Combined]])),MAX($E$1:E322)+1,0)</f>
        <v>0</v>
      </c>
      <c r="F323" s="1" t="str">
        <f ca="1">IFERROR(INDEX(TagData[],MATCH(ROWS(F$1:$G322),TagData[Search],0),4),"")</f>
        <v/>
      </c>
    </row>
    <row r="324" spans="1:6" x14ac:dyDescent="0.3">
      <c r="A324">
        <v>806</v>
      </c>
      <c r="B324" s="1" t="s">
        <v>293</v>
      </c>
      <c r="C324" s="1" t="s">
        <v>295</v>
      </c>
      <c r="D324" s="1" t="str">
        <f>+TagData[[#This Row],[TagName]]&amp;"_"&amp;TagData[[#This Row],[Description]]</f>
        <v>FIC37939_ Flow control of ODCB to B37902B</v>
      </c>
      <c r="E324" cm="1">
        <f t="array" aca="1" ref="E324" ca="1">IF(ISNUMBER(SEARCH(INDIRECT(CELL("address")),TagData[[#This Row],[Combined]])),MAX($E$1:E323)+1,0)</f>
        <v>0</v>
      </c>
      <c r="F324" s="1" t="str">
        <f ca="1">IFERROR(INDEX(TagData[],MATCH(ROWS(F$1:$G323),TagData[Search],0),4),"")</f>
        <v/>
      </c>
    </row>
    <row r="325" spans="1:6" x14ac:dyDescent="0.3">
      <c r="A325">
        <v>807</v>
      </c>
      <c r="B325" s="1" t="s">
        <v>293</v>
      </c>
      <c r="C325" s="1" t="s">
        <v>294</v>
      </c>
      <c r="D325" s="1" t="str">
        <f>+TagData[[#This Row],[TagName]]&amp;"_"&amp;TagData[[#This Row],[Description]]</f>
        <v>FIC37939_ Flow of ODCB to B37902B</v>
      </c>
      <c r="E325" cm="1">
        <f t="array" aca="1" ref="E325" ca="1">IF(ISNUMBER(SEARCH(INDIRECT(CELL("address")),TagData[[#This Row],[Combined]])),MAX($E$1:E324)+1,0)</f>
        <v>0</v>
      </c>
      <c r="F325" s="1" t="str">
        <f ca="1">IFERROR(INDEX(TagData[],MATCH(ROWS(F$1:$G324),TagData[Search],0),4),"")</f>
        <v/>
      </c>
    </row>
    <row r="326" spans="1:6" x14ac:dyDescent="0.3">
      <c r="A326">
        <v>812</v>
      </c>
      <c r="B326" s="1" t="s">
        <v>293</v>
      </c>
      <c r="C326" s="1" t="s">
        <v>295</v>
      </c>
      <c r="D326" s="1" t="str">
        <f>+TagData[[#This Row],[TagName]]&amp;"_"&amp;TagData[[#This Row],[Description]]</f>
        <v>FIC37939_ Flow control of ODCB to B37902B</v>
      </c>
      <c r="E326" cm="1">
        <f t="array" aca="1" ref="E326" ca="1">IF(ISNUMBER(SEARCH(INDIRECT(CELL("address")),TagData[[#This Row],[Combined]])),MAX($E$1:E325)+1,0)</f>
        <v>0</v>
      </c>
      <c r="F326" s="1" t="str">
        <f ca="1">IFERROR(INDEX(TagData[],MATCH(ROWS(F$1:$G325),TagData[Search],0),4),"")</f>
        <v/>
      </c>
    </row>
    <row r="327" spans="1:6" x14ac:dyDescent="0.3">
      <c r="A327">
        <v>811</v>
      </c>
      <c r="B327" s="1" t="s">
        <v>296</v>
      </c>
      <c r="C327" s="1" t="s">
        <v>297</v>
      </c>
      <c r="D327" s="1" t="str">
        <f>+TagData[[#This Row],[TagName]]&amp;"_"&amp;TagData[[#This Row],[Description]]</f>
        <v>TI37948_Temp of Secondary Vac Pump B37903A</v>
      </c>
      <c r="E327" cm="1">
        <f t="array" aca="1" ref="E327" ca="1">IF(ISNUMBER(SEARCH(INDIRECT(CELL("address")),TagData[[#This Row],[Combined]])),MAX($E$1:E326)+1,0)</f>
        <v>0</v>
      </c>
      <c r="F327" s="1" t="str">
        <f ca="1">IFERROR(INDEX(TagData[],MATCH(ROWS(F$1:$G326),TagData[Search],0),4),"")</f>
        <v/>
      </c>
    </row>
    <row r="328" spans="1:6" x14ac:dyDescent="0.3">
      <c r="A328">
        <v>816</v>
      </c>
      <c r="B328" s="1" t="s">
        <v>298</v>
      </c>
      <c r="C328" s="1" t="s">
        <v>299</v>
      </c>
      <c r="D328" s="1" t="str">
        <f>+TagData[[#This Row],[TagName]]&amp;"_"&amp;TagData[[#This Row],[Description]]</f>
        <v>FI37950_Flow frm E37903.02A to B37903B</v>
      </c>
      <c r="E328" cm="1">
        <f t="array" aca="1" ref="E328" ca="1">IF(ISNUMBER(SEARCH(INDIRECT(CELL("address")),TagData[[#This Row],[Combined]])),MAX($E$1:E327)+1,0)</f>
        <v>0</v>
      </c>
      <c r="F328" s="1" t="str">
        <f ca="1">IFERROR(INDEX(TagData[],MATCH(ROWS(F$1:$G327),TagData[Search],0),4),"")</f>
        <v/>
      </c>
    </row>
    <row r="329" spans="1:6" x14ac:dyDescent="0.3">
      <c r="A329">
        <v>817</v>
      </c>
      <c r="B329" s="1" t="s">
        <v>296</v>
      </c>
      <c r="C329" s="1" t="s">
        <v>297</v>
      </c>
      <c r="D329" s="1" t="str">
        <f>+TagData[[#This Row],[TagName]]&amp;"_"&amp;TagData[[#This Row],[Description]]</f>
        <v>TI37948_Temp of Secondary Vac Pump B37903A</v>
      </c>
      <c r="E329" cm="1">
        <f t="array" aca="1" ref="E329" ca="1">IF(ISNUMBER(SEARCH(INDIRECT(CELL("address")),TagData[[#This Row],[Combined]])),MAX($E$1:E328)+1,0)</f>
        <v>0</v>
      </c>
      <c r="F329" s="1" t="str">
        <f ca="1">IFERROR(INDEX(TagData[],MATCH(ROWS(F$1:$G328),TagData[Search],0),4),"")</f>
        <v/>
      </c>
    </row>
    <row r="330" spans="1:6" x14ac:dyDescent="0.3">
      <c r="A330">
        <v>822</v>
      </c>
      <c r="B330" s="1" t="s">
        <v>298</v>
      </c>
      <c r="C330" s="1" t="s">
        <v>299</v>
      </c>
      <c r="D330" s="1" t="str">
        <f>+TagData[[#This Row],[TagName]]&amp;"_"&amp;TagData[[#This Row],[Description]]</f>
        <v>FI37950_Flow frm E37903.02A to B37903B</v>
      </c>
      <c r="E330" cm="1">
        <f t="array" aca="1" ref="E330" ca="1">IF(ISNUMBER(SEARCH(INDIRECT(CELL("address")),TagData[[#This Row],[Combined]])),MAX($E$1:E329)+1,0)</f>
        <v>0</v>
      </c>
      <c r="F330" s="1" t="str">
        <f ca="1">IFERROR(INDEX(TagData[],MATCH(ROWS(F$1:$G329),TagData[Search],0),4),"")</f>
        <v/>
      </c>
    </row>
    <row r="331" spans="1:6" x14ac:dyDescent="0.3">
      <c r="A331">
        <v>821</v>
      </c>
      <c r="B331" s="1" t="s">
        <v>300</v>
      </c>
      <c r="C331" s="1" t="s">
        <v>301</v>
      </c>
      <c r="D331" s="1" t="str">
        <f>+TagData[[#This Row],[TagName]]&amp;"_"&amp;TagData[[#This Row],[Description]]</f>
        <v>LIC37942_Level of Secondary Sep. S39703.03A</v>
      </c>
      <c r="E331" cm="1">
        <f t="array" aca="1" ref="E331" ca="1">IF(ISNUMBER(SEARCH(INDIRECT(CELL("address")),TagData[[#This Row],[Combined]])),MAX($E$1:E330)+1,0)</f>
        <v>0</v>
      </c>
      <c r="F331" s="1" t="str">
        <f ca="1">IFERROR(INDEX(TagData[],MATCH(ROWS(F$1:$G330),TagData[Search],0),4),"")</f>
        <v/>
      </c>
    </row>
    <row r="332" spans="1:6" x14ac:dyDescent="0.3">
      <c r="A332">
        <v>826</v>
      </c>
      <c r="B332" s="1" t="s">
        <v>300</v>
      </c>
      <c r="C332" s="1" t="s">
        <v>302</v>
      </c>
      <c r="D332" s="1" t="str">
        <f>+TagData[[#This Row],[TagName]]&amp;"_"&amp;TagData[[#This Row],[Description]]</f>
        <v>LIC37942_Level Control of Sec Sep.S39703.03A</v>
      </c>
      <c r="E332" cm="1">
        <f t="array" aca="1" ref="E332" ca="1">IF(ISNUMBER(SEARCH(INDIRECT(CELL("address")),TagData[[#This Row],[Combined]])),MAX($E$1:E331)+1,0)</f>
        <v>0</v>
      </c>
      <c r="F332" s="1" t="str">
        <f ca="1">IFERROR(INDEX(TagData[],MATCH(ROWS(F$1:$G331),TagData[Search],0),4),"")</f>
        <v/>
      </c>
    </row>
    <row r="333" spans="1:6" x14ac:dyDescent="0.3">
      <c r="A333">
        <v>827</v>
      </c>
      <c r="B333" s="1" t="s">
        <v>300</v>
      </c>
      <c r="C333" s="1" t="s">
        <v>301</v>
      </c>
      <c r="D333" s="1" t="str">
        <f>+TagData[[#This Row],[TagName]]&amp;"_"&amp;TagData[[#This Row],[Description]]</f>
        <v>LIC37942_Level of Secondary Sep. S39703.03A</v>
      </c>
      <c r="E333" cm="1">
        <f t="array" aca="1" ref="E333" ca="1">IF(ISNUMBER(SEARCH(INDIRECT(CELL("address")),TagData[[#This Row],[Combined]])),MAX($E$1:E332)+1,0)</f>
        <v>0</v>
      </c>
      <c r="F333" s="1" t="str">
        <f ca="1">IFERROR(INDEX(TagData[],MATCH(ROWS(F$1:$G332),TagData[Search],0),4),"")</f>
        <v/>
      </c>
    </row>
    <row r="334" spans="1:6" x14ac:dyDescent="0.3">
      <c r="A334">
        <v>831</v>
      </c>
      <c r="B334" s="1" t="s">
        <v>303</v>
      </c>
      <c r="C334" s="1" t="s">
        <v>304</v>
      </c>
      <c r="D334" s="1" t="str">
        <f>+TagData[[#This Row],[TagName]]&amp;"_"&amp;TagData[[#This Row],[Description]]</f>
        <v>FI37960_Flow frm E37903.02B to B37903B</v>
      </c>
      <c r="E334" cm="1">
        <f t="array" aca="1" ref="E334" ca="1">IF(ISNUMBER(SEARCH(INDIRECT(CELL("address")),TagData[[#This Row],[Combined]])),MAX($E$1:E333)+1,0)</f>
        <v>0</v>
      </c>
      <c r="F334" s="1" t="str">
        <f ca="1">IFERROR(INDEX(TagData[],MATCH(ROWS(F$1:$G333),TagData[Search],0),4),"")</f>
        <v/>
      </c>
    </row>
    <row r="335" spans="1:6" x14ac:dyDescent="0.3">
      <c r="A335">
        <v>832</v>
      </c>
      <c r="B335" s="1" t="s">
        <v>300</v>
      </c>
      <c r="C335" s="1" t="s">
        <v>302</v>
      </c>
      <c r="D335" s="1" t="str">
        <f>+TagData[[#This Row],[TagName]]&amp;"_"&amp;TagData[[#This Row],[Description]]</f>
        <v>LIC37942_Level Control of Sec Sep.S39703.03A</v>
      </c>
      <c r="E335" cm="1">
        <f t="array" aca="1" ref="E335" ca="1">IF(ISNUMBER(SEARCH(INDIRECT(CELL("address")),TagData[[#This Row],[Combined]])),MAX($E$1:E334)+1,0)</f>
        <v>0</v>
      </c>
      <c r="F335" s="1" t="str">
        <f ca="1">IFERROR(INDEX(TagData[],MATCH(ROWS(F$1:$G334),TagData[Search],0),4),"")</f>
        <v/>
      </c>
    </row>
    <row r="336" spans="1:6" x14ac:dyDescent="0.3">
      <c r="A336">
        <v>837</v>
      </c>
      <c r="B336" s="1" t="s">
        <v>303</v>
      </c>
      <c r="C336" s="1" t="s">
        <v>304</v>
      </c>
      <c r="D336" s="1" t="str">
        <f>+TagData[[#This Row],[TagName]]&amp;"_"&amp;TagData[[#This Row],[Description]]</f>
        <v>FI37960_Flow frm E37903.02B to B37903B</v>
      </c>
      <c r="E336" cm="1">
        <f t="array" aca="1" ref="E336" ca="1">IF(ISNUMBER(SEARCH(INDIRECT(CELL("address")),TagData[[#This Row],[Combined]])),MAX($E$1:E335)+1,0)</f>
        <v>0</v>
      </c>
      <c r="F336" s="1" t="str">
        <f ca="1">IFERROR(INDEX(TagData[],MATCH(ROWS(F$1:$G335),TagData[Search],0),4),"")</f>
        <v/>
      </c>
    </row>
    <row r="337" spans="1:6" x14ac:dyDescent="0.3">
      <c r="A337">
        <v>836</v>
      </c>
      <c r="B337" s="1" t="s">
        <v>305</v>
      </c>
      <c r="C337" s="1" t="s">
        <v>306</v>
      </c>
      <c r="D337" s="1" t="str">
        <f>+TagData[[#This Row],[TagName]]&amp;"_"&amp;TagData[[#This Row],[Description]]</f>
        <v>LI37952_Level of Secondary Sep. S39703.03B</v>
      </c>
      <c r="E337" cm="1">
        <f t="array" aca="1" ref="E337" ca="1">IF(ISNUMBER(SEARCH(INDIRECT(CELL("address")),TagData[[#This Row],[Combined]])),MAX($E$1:E336)+1,0)</f>
        <v>0</v>
      </c>
      <c r="F337" s="1" t="str">
        <f ca="1">IFERROR(INDEX(TagData[],MATCH(ROWS(F$1:$G336),TagData[Search],0),4),"")</f>
        <v/>
      </c>
    </row>
    <row r="338" spans="1:6" x14ac:dyDescent="0.3">
      <c r="A338">
        <v>842</v>
      </c>
      <c r="B338" s="1" t="s">
        <v>305</v>
      </c>
      <c r="C338" s="1" t="s">
        <v>306</v>
      </c>
      <c r="D338" s="1" t="str">
        <f>+TagData[[#This Row],[TagName]]&amp;"_"&amp;TagData[[#This Row],[Description]]</f>
        <v>LI37952_Level of Secondary Sep. S39703.03B</v>
      </c>
      <c r="E338" cm="1">
        <f t="array" aca="1" ref="E338" ca="1">IF(ISNUMBER(SEARCH(INDIRECT(CELL("address")),TagData[[#This Row],[Combined]])),MAX($E$1:E337)+1,0)</f>
        <v>0</v>
      </c>
      <c r="F338" s="1" t="str">
        <f ca="1">IFERROR(INDEX(TagData[],MATCH(ROWS(F$1:$G337),TagData[Search],0),4),"")</f>
        <v/>
      </c>
    </row>
    <row r="339" spans="1:6" x14ac:dyDescent="0.3">
      <c r="A339">
        <v>841</v>
      </c>
      <c r="B339" s="1" t="s">
        <v>307</v>
      </c>
      <c r="C339" s="1" t="s">
        <v>308</v>
      </c>
      <c r="D339" s="1" t="str">
        <f>+TagData[[#This Row],[TagName]]&amp;"_"&amp;TagData[[#This Row],[Description]]</f>
        <v>TI37955_Temp of Secondary Vac Pump B37903B</v>
      </c>
      <c r="E339" cm="1">
        <f t="array" aca="1" ref="E339" ca="1">IF(ISNUMBER(SEARCH(INDIRECT(CELL("address")),TagData[[#This Row],[Combined]])),MAX($E$1:E338)+1,0)</f>
        <v>0</v>
      </c>
      <c r="F339" s="1" t="str">
        <f ca="1">IFERROR(INDEX(TagData[],MATCH(ROWS(F$1:$G338),TagData[Search],0),4),"")</f>
        <v/>
      </c>
    </row>
    <row r="340" spans="1:6" x14ac:dyDescent="0.3">
      <c r="A340">
        <v>846</v>
      </c>
      <c r="B340" s="1" t="s">
        <v>309</v>
      </c>
      <c r="C340" s="1" t="s">
        <v>310</v>
      </c>
      <c r="D340" s="1" t="str">
        <f>+TagData[[#This Row],[TagName]]&amp;"_"&amp;TagData[[#This Row],[Description]]</f>
        <v>FIC37949_Flow of ODCB to Sec Vac PumpB37903A</v>
      </c>
      <c r="E340" cm="1">
        <f t="array" aca="1" ref="E340" ca="1">IF(ISNUMBER(SEARCH(INDIRECT(CELL("address")),TagData[[#This Row],[Combined]])),MAX($E$1:E339)+1,0)</f>
        <v>0</v>
      </c>
      <c r="F340" s="1" t="str">
        <f ca="1">IFERROR(INDEX(TagData[],MATCH(ROWS(F$1:$G339),TagData[Search],0),4),"")</f>
        <v/>
      </c>
    </row>
    <row r="341" spans="1:6" x14ac:dyDescent="0.3">
      <c r="A341">
        <v>847</v>
      </c>
      <c r="B341" s="1" t="s">
        <v>307</v>
      </c>
      <c r="C341" s="1" t="s">
        <v>308</v>
      </c>
      <c r="D341" s="1" t="str">
        <f>+TagData[[#This Row],[TagName]]&amp;"_"&amp;TagData[[#This Row],[Description]]</f>
        <v>TI37955_Temp of Secondary Vac Pump B37903B</v>
      </c>
      <c r="E341" cm="1">
        <f t="array" aca="1" ref="E341" ca="1">IF(ISNUMBER(SEARCH(INDIRECT(CELL("address")),TagData[[#This Row],[Combined]])),MAX($E$1:E340)+1,0)</f>
        <v>0</v>
      </c>
      <c r="F341" s="1" t="str">
        <f ca="1">IFERROR(INDEX(TagData[],MATCH(ROWS(F$1:$G340),TagData[Search],0),4),"")</f>
        <v/>
      </c>
    </row>
    <row r="342" spans="1:6" x14ac:dyDescent="0.3">
      <c r="A342">
        <v>851</v>
      </c>
      <c r="B342" s="1" t="s">
        <v>309</v>
      </c>
      <c r="C342" s="1" t="s">
        <v>311</v>
      </c>
      <c r="D342" s="1" t="str">
        <f>+TagData[[#This Row],[TagName]]&amp;"_"&amp;TagData[[#This Row],[Description]]</f>
        <v>FIC37949_Flow Control of ODCB to B37903A</v>
      </c>
      <c r="E342" cm="1">
        <f t="array" aca="1" ref="E342" ca="1">IF(ISNUMBER(SEARCH(INDIRECT(CELL("address")),TagData[[#This Row],[Combined]])),MAX($E$1:E341)+1,0)</f>
        <v>0</v>
      </c>
      <c r="F342" s="1" t="str">
        <f ca="1">IFERROR(INDEX(TagData[],MATCH(ROWS(F$1:$G341),TagData[Search],0),4),"")</f>
        <v/>
      </c>
    </row>
    <row r="343" spans="1:6" x14ac:dyDescent="0.3">
      <c r="A343">
        <v>852</v>
      </c>
      <c r="B343" s="1" t="s">
        <v>309</v>
      </c>
      <c r="C343" s="1" t="s">
        <v>310</v>
      </c>
      <c r="D343" s="1" t="str">
        <f>+TagData[[#This Row],[TagName]]&amp;"_"&amp;TagData[[#This Row],[Description]]</f>
        <v>FIC37949_Flow of ODCB to Sec Vac PumpB37903A</v>
      </c>
      <c r="E343" cm="1">
        <f t="array" aca="1" ref="E343" ca="1">IF(ISNUMBER(SEARCH(INDIRECT(CELL("address")),TagData[[#This Row],[Combined]])),MAX($E$1:E342)+1,0)</f>
        <v>0</v>
      </c>
      <c r="F343" s="1" t="str">
        <f ca="1">IFERROR(INDEX(TagData[],MATCH(ROWS(F$1:$G342),TagData[Search],0),4),"")</f>
        <v/>
      </c>
    </row>
    <row r="344" spans="1:6" x14ac:dyDescent="0.3">
      <c r="A344">
        <v>857</v>
      </c>
      <c r="B344" s="1" t="s">
        <v>309</v>
      </c>
      <c r="C344" s="1" t="s">
        <v>311</v>
      </c>
      <c r="D344" s="1" t="str">
        <f>+TagData[[#This Row],[TagName]]&amp;"_"&amp;TagData[[#This Row],[Description]]</f>
        <v>FIC37949_Flow Control of ODCB to B37903A</v>
      </c>
      <c r="E344" cm="1">
        <f t="array" aca="1" ref="E344" ca="1">IF(ISNUMBER(SEARCH(INDIRECT(CELL("address")),TagData[[#This Row],[Combined]])),MAX($E$1:E343)+1,0)</f>
        <v>0</v>
      </c>
      <c r="F344" s="1" t="str">
        <f ca="1">IFERROR(INDEX(TagData[],MATCH(ROWS(F$1:$G343),TagData[Search],0),4),"")</f>
        <v/>
      </c>
    </row>
    <row r="345" spans="1:6" x14ac:dyDescent="0.3">
      <c r="A345">
        <v>856</v>
      </c>
      <c r="B345" s="1" t="s">
        <v>312</v>
      </c>
      <c r="C345" s="1" t="s">
        <v>313</v>
      </c>
      <c r="D345" s="1" t="str">
        <f>+TagData[[#This Row],[TagName]]&amp;"_"&amp;TagData[[#This Row],[Description]]</f>
        <v>TI37947_Temp of Secondary Sep S37903.03A</v>
      </c>
      <c r="E345" cm="1">
        <f t="array" aca="1" ref="E345" ca="1">IF(ISNUMBER(SEARCH(INDIRECT(CELL("address")),TagData[[#This Row],[Combined]])),MAX($E$1:E344)+1,0)</f>
        <v>0</v>
      </c>
      <c r="F345" s="1" t="str">
        <f ca="1">IFERROR(INDEX(TagData[],MATCH(ROWS(F$1:$G344),TagData[Search],0),4),"")</f>
        <v/>
      </c>
    </row>
    <row r="346" spans="1:6" x14ac:dyDescent="0.3">
      <c r="A346">
        <v>862</v>
      </c>
      <c r="B346" s="1" t="s">
        <v>312</v>
      </c>
      <c r="C346" s="1" t="s">
        <v>313</v>
      </c>
      <c r="D346" s="1" t="str">
        <f>+TagData[[#This Row],[TagName]]&amp;"_"&amp;TagData[[#This Row],[Description]]</f>
        <v>TI37947_Temp of Secondary Sep S37903.03A</v>
      </c>
      <c r="E346" cm="1">
        <f t="array" aca="1" ref="E346" ca="1">IF(ISNUMBER(SEARCH(INDIRECT(CELL("address")),TagData[[#This Row],[Combined]])),MAX($E$1:E345)+1,0)</f>
        <v>0</v>
      </c>
      <c r="F346" s="1" t="str">
        <f ca="1">IFERROR(INDEX(TagData[],MATCH(ROWS(F$1:$G345),TagData[Search],0),4),"")</f>
        <v/>
      </c>
    </row>
    <row r="347" spans="1:6" x14ac:dyDescent="0.3">
      <c r="A347">
        <v>861</v>
      </c>
      <c r="B347" s="1" t="s">
        <v>314</v>
      </c>
      <c r="C347" s="1" t="s">
        <v>315</v>
      </c>
      <c r="D347" s="1" t="str">
        <f>+TagData[[#This Row],[TagName]]&amp;"_"&amp;TagData[[#This Row],[Description]]</f>
        <v>TI37985_Temperature WCR from E37903.02A</v>
      </c>
      <c r="E347" cm="1">
        <f t="array" aca="1" ref="E347" ca="1">IF(ISNUMBER(SEARCH(INDIRECT(CELL("address")),TagData[[#This Row],[Combined]])),MAX($E$1:E346)+1,0)</f>
        <v>0</v>
      </c>
      <c r="F347" s="1" t="str">
        <f ca="1">IFERROR(INDEX(TagData[],MATCH(ROWS(F$1:$G346),TagData[Search],0),4),"")</f>
        <v/>
      </c>
    </row>
    <row r="348" spans="1:6" x14ac:dyDescent="0.3">
      <c r="A348">
        <v>867</v>
      </c>
      <c r="B348" s="1" t="s">
        <v>314</v>
      </c>
      <c r="C348" s="1" t="s">
        <v>315</v>
      </c>
      <c r="D348" s="1" t="str">
        <f>+TagData[[#This Row],[TagName]]&amp;"_"&amp;TagData[[#This Row],[Description]]</f>
        <v>TI37985_Temperature WCR from E37903.02A</v>
      </c>
      <c r="E348" cm="1">
        <f t="array" aca="1" ref="E348" ca="1">IF(ISNUMBER(SEARCH(INDIRECT(CELL("address")),TagData[[#This Row],[Combined]])),MAX($E$1:E347)+1,0)</f>
        <v>0</v>
      </c>
      <c r="F348" s="1" t="str">
        <f ca="1">IFERROR(INDEX(TagData[],MATCH(ROWS(F$1:$G347),TagData[Search],0),4),"")</f>
        <v/>
      </c>
    </row>
    <row r="349" spans="1:6" x14ac:dyDescent="0.3">
      <c r="A349">
        <v>866</v>
      </c>
      <c r="B349" s="1" t="s">
        <v>316</v>
      </c>
      <c r="C349" s="1" t="s">
        <v>317</v>
      </c>
      <c r="D349" s="1" t="str">
        <f>+TagData[[#This Row],[TagName]]&amp;"_"&amp;TagData[[#This Row],[Description]]</f>
        <v>TIC37946_Temp of Secondary Cooler E37903.02A</v>
      </c>
      <c r="E349" cm="1">
        <f t="array" aca="1" ref="E349" ca="1">IF(ISNUMBER(SEARCH(INDIRECT(CELL("address")),TagData[[#This Row],[Combined]])),MAX($E$1:E348)+1,0)</f>
        <v>0</v>
      </c>
      <c r="F349" s="1" t="str">
        <f ca="1">IFERROR(INDEX(TagData[],MATCH(ROWS(F$1:$G348),TagData[Search],0),4),"")</f>
        <v/>
      </c>
    </row>
    <row r="350" spans="1:6" x14ac:dyDescent="0.3">
      <c r="A350">
        <v>871</v>
      </c>
      <c r="B350" s="1" t="s">
        <v>316</v>
      </c>
      <c r="C350" s="1" t="s">
        <v>318</v>
      </c>
      <c r="D350" s="1" t="str">
        <f>+TagData[[#This Row],[TagName]]&amp;"_"&amp;TagData[[#This Row],[Description]]</f>
        <v>TIC37946_Temp Cntrl of  E37903.02A</v>
      </c>
      <c r="E350" cm="1">
        <f t="array" aca="1" ref="E350" ca="1">IF(ISNUMBER(SEARCH(INDIRECT(CELL("address")),TagData[[#This Row],[Combined]])),MAX($E$1:E349)+1,0)</f>
        <v>0</v>
      </c>
      <c r="F350" s="1" t="str">
        <f ca="1">IFERROR(INDEX(TagData[],MATCH(ROWS(F$1:$G349),TagData[Search],0),4),"")</f>
        <v/>
      </c>
    </row>
    <row r="351" spans="1:6" x14ac:dyDescent="0.3">
      <c r="A351">
        <v>872</v>
      </c>
      <c r="B351" s="1" t="s">
        <v>316</v>
      </c>
      <c r="C351" s="1" t="s">
        <v>317</v>
      </c>
      <c r="D351" s="1" t="str">
        <f>+TagData[[#This Row],[TagName]]&amp;"_"&amp;TagData[[#This Row],[Description]]</f>
        <v>TIC37946_Temp of Secondary Cooler E37903.02A</v>
      </c>
      <c r="E351" cm="1">
        <f t="array" aca="1" ref="E351" ca="1">IF(ISNUMBER(SEARCH(INDIRECT(CELL("address")),TagData[[#This Row],[Combined]])),MAX($E$1:E350)+1,0)</f>
        <v>0</v>
      </c>
      <c r="F351" s="1" t="str">
        <f ca="1">IFERROR(INDEX(TagData[],MATCH(ROWS(F$1:$G350),TagData[Search],0),4),"")</f>
        <v/>
      </c>
    </row>
    <row r="352" spans="1:6" x14ac:dyDescent="0.3">
      <c r="A352">
        <v>876</v>
      </c>
      <c r="B352" s="1" t="s">
        <v>319</v>
      </c>
      <c r="C352" s="1" t="s">
        <v>320</v>
      </c>
      <c r="D352" s="1" t="str">
        <f>+TagData[[#This Row],[TagName]]&amp;"_"&amp;TagData[[#This Row],[Description]]</f>
        <v>PIC37944_ Pressure of B37903A Suction</v>
      </c>
      <c r="E352" cm="1">
        <f t="array" aca="1" ref="E352" ca="1">IF(ISNUMBER(SEARCH(INDIRECT(CELL("address")),TagData[[#This Row],[Combined]])),MAX($E$1:E351)+1,0)</f>
        <v>0</v>
      </c>
      <c r="F352" s="1" t="str">
        <f ca="1">IFERROR(INDEX(TagData[],MATCH(ROWS(F$1:$G351),TagData[Search],0),4),"")</f>
        <v/>
      </c>
    </row>
    <row r="353" spans="1:6" x14ac:dyDescent="0.3">
      <c r="A353">
        <v>877</v>
      </c>
      <c r="B353" s="1" t="s">
        <v>316</v>
      </c>
      <c r="C353" s="1" t="s">
        <v>318</v>
      </c>
      <c r="D353" s="1" t="str">
        <f>+TagData[[#This Row],[TagName]]&amp;"_"&amp;TagData[[#This Row],[Description]]</f>
        <v>TIC37946_Temp Cntrl of  E37903.02A</v>
      </c>
      <c r="E353" cm="1">
        <f t="array" aca="1" ref="E353" ca="1">IF(ISNUMBER(SEARCH(INDIRECT(CELL("address")),TagData[[#This Row],[Combined]])),MAX($E$1:E352)+1,0)</f>
        <v>0</v>
      </c>
      <c r="F353" s="1" t="str">
        <f ca="1">IFERROR(INDEX(TagData[],MATCH(ROWS(F$1:$G352),TagData[Search],0),4),"")</f>
        <v/>
      </c>
    </row>
    <row r="354" spans="1:6" x14ac:dyDescent="0.3">
      <c r="A354">
        <v>881</v>
      </c>
      <c r="B354" s="1" t="s">
        <v>319</v>
      </c>
      <c r="C354" s="1" t="s">
        <v>321</v>
      </c>
      <c r="D354" s="1" t="str">
        <f>+TagData[[#This Row],[TagName]]&amp;"_"&amp;TagData[[#This Row],[Description]]</f>
        <v>PIC37944_ Pressure Control B37903A Suction</v>
      </c>
      <c r="E354" cm="1">
        <f t="array" aca="1" ref="E354" ca="1">IF(ISNUMBER(SEARCH(INDIRECT(CELL("address")),TagData[[#This Row],[Combined]])),MAX($E$1:E353)+1,0)</f>
        <v>0</v>
      </c>
      <c r="F354" s="1" t="str">
        <f ca="1">IFERROR(INDEX(TagData[],MATCH(ROWS(F$1:$G353),TagData[Search],0),4),"")</f>
        <v/>
      </c>
    </row>
    <row r="355" spans="1:6" x14ac:dyDescent="0.3">
      <c r="A355">
        <v>882</v>
      </c>
      <c r="B355" s="1" t="s">
        <v>319</v>
      </c>
      <c r="C355" s="1" t="s">
        <v>320</v>
      </c>
      <c r="D355" s="1" t="str">
        <f>+TagData[[#This Row],[TagName]]&amp;"_"&amp;TagData[[#This Row],[Description]]</f>
        <v>PIC37944_ Pressure of B37903A Suction</v>
      </c>
      <c r="E355" cm="1">
        <f t="array" aca="1" ref="E355" ca="1">IF(ISNUMBER(SEARCH(INDIRECT(CELL("address")),TagData[[#This Row],[Combined]])),MAX($E$1:E354)+1,0)</f>
        <v>0</v>
      </c>
      <c r="F355" s="1" t="str">
        <f ca="1">IFERROR(INDEX(TagData[],MATCH(ROWS(F$1:$G354),TagData[Search],0),4),"")</f>
        <v/>
      </c>
    </row>
    <row r="356" spans="1:6" x14ac:dyDescent="0.3">
      <c r="A356">
        <v>887</v>
      </c>
      <c r="B356" s="1" t="s">
        <v>319</v>
      </c>
      <c r="C356" s="1" t="s">
        <v>321</v>
      </c>
      <c r="D356" s="1" t="str">
        <f>+TagData[[#This Row],[TagName]]&amp;"_"&amp;TagData[[#This Row],[Description]]</f>
        <v>PIC37944_ Pressure Control B37903A Suction</v>
      </c>
      <c r="E356" cm="1">
        <f t="array" aca="1" ref="E356" ca="1">IF(ISNUMBER(SEARCH(INDIRECT(CELL("address")),TagData[[#This Row],[Combined]])),MAX($E$1:E355)+1,0)</f>
        <v>0</v>
      </c>
      <c r="F356" s="1" t="str">
        <f ca="1">IFERROR(INDEX(TagData[],MATCH(ROWS(F$1:$G355),TagData[Search],0),4),"")</f>
        <v/>
      </c>
    </row>
    <row r="357" spans="1:6" x14ac:dyDescent="0.3">
      <c r="A357">
        <v>886</v>
      </c>
      <c r="B357" s="1" t="s">
        <v>322</v>
      </c>
      <c r="C357" s="1" t="s">
        <v>323</v>
      </c>
      <c r="D357" s="1" t="str">
        <f>+TagData[[#This Row],[TagName]]&amp;"_"&amp;TagData[[#This Row],[Description]]</f>
        <v>PIC37954_ Pressure of B37903B Suction</v>
      </c>
      <c r="E357" cm="1">
        <f t="array" aca="1" ref="E357" ca="1">IF(ISNUMBER(SEARCH(INDIRECT(CELL("address")),TagData[[#This Row],[Combined]])),MAX($E$1:E356)+1,0)</f>
        <v>0</v>
      </c>
      <c r="F357" s="1" t="str">
        <f ca="1">IFERROR(INDEX(TagData[],MATCH(ROWS(F$1:$G356),TagData[Search],0),4),"")</f>
        <v/>
      </c>
    </row>
    <row r="358" spans="1:6" x14ac:dyDescent="0.3">
      <c r="A358">
        <v>891</v>
      </c>
      <c r="B358" s="1" t="s">
        <v>322</v>
      </c>
      <c r="C358" s="1" t="s">
        <v>324</v>
      </c>
      <c r="D358" s="1" t="str">
        <f>+TagData[[#This Row],[TagName]]&amp;"_"&amp;TagData[[#This Row],[Description]]</f>
        <v>PIC37954_ Pressure Control B37903B Suction</v>
      </c>
      <c r="E358" cm="1">
        <f t="array" aca="1" ref="E358" ca="1">IF(ISNUMBER(SEARCH(INDIRECT(CELL("address")),TagData[[#This Row],[Combined]])),MAX($E$1:E357)+1,0)</f>
        <v>0</v>
      </c>
      <c r="F358" s="1" t="str">
        <f ca="1">IFERROR(INDEX(TagData[],MATCH(ROWS(F$1:$G357),TagData[Search],0),4),"")</f>
        <v/>
      </c>
    </row>
    <row r="359" spans="1:6" x14ac:dyDescent="0.3">
      <c r="A359">
        <v>892</v>
      </c>
      <c r="B359" s="1" t="s">
        <v>322</v>
      </c>
      <c r="C359" s="1" t="s">
        <v>323</v>
      </c>
      <c r="D359" s="1" t="str">
        <f>+TagData[[#This Row],[TagName]]&amp;"_"&amp;TagData[[#This Row],[Description]]</f>
        <v>PIC37954_ Pressure of B37903B Suction</v>
      </c>
      <c r="E359" cm="1">
        <f t="array" aca="1" ref="E359" ca="1">IF(ISNUMBER(SEARCH(INDIRECT(CELL("address")),TagData[[#This Row],[Combined]])),MAX($E$1:E358)+1,0)</f>
        <v>0</v>
      </c>
      <c r="F359" s="1" t="str">
        <f ca="1">IFERROR(INDEX(TagData[],MATCH(ROWS(F$1:$G358),TagData[Search],0),4),"")</f>
        <v/>
      </c>
    </row>
    <row r="360" spans="1:6" x14ac:dyDescent="0.3">
      <c r="A360">
        <v>896</v>
      </c>
      <c r="B360" s="1" t="s">
        <v>325</v>
      </c>
      <c r="C360" s="1" t="s">
        <v>326</v>
      </c>
      <c r="D360" s="1" t="str">
        <f>+TagData[[#This Row],[TagName]]&amp;"_"&amp;TagData[[#This Row],[Description]]</f>
        <v>FIC37959_Flow of ODCB to Sec Vac PumpB37903B</v>
      </c>
      <c r="E360" cm="1">
        <f t="array" aca="1" ref="E360" ca="1">IF(ISNUMBER(SEARCH(INDIRECT(CELL("address")),TagData[[#This Row],[Combined]])),MAX($E$1:E359)+1,0)</f>
        <v>0</v>
      </c>
      <c r="F360" s="1" t="str">
        <f ca="1">IFERROR(INDEX(TagData[],MATCH(ROWS(F$1:$G359),TagData[Search],0),4),"")</f>
        <v/>
      </c>
    </row>
    <row r="361" spans="1:6" x14ac:dyDescent="0.3">
      <c r="A361">
        <v>897</v>
      </c>
      <c r="B361" s="1" t="s">
        <v>322</v>
      </c>
      <c r="C361" s="1" t="s">
        <v>324</v>
      </c>
      <c r="D361" s="1" t="str">
        <f>+TagData[[#This Row],[TagName]]&amp;"_"&amp;TagData[[#This Row],[Description]]</f>
        <v>PIC37954_ Pressure Control B37903B Suction</v>
      </c>
      <c r="E361" cm="1">
        <f t="array" aca="1" ref="E361" ca="1">IF(ISNUMBER(SEARCH(INDIRECT(CELL("address")),TagData[[#This Row],[Combined]])),MAX($E$1:E360)+1,0)</f>
        <v>0</v>
      </c>
      <c r="F361" s="1" t="str">
        <f ca="1">IFERROR(INDEX(TagData[],MATCH(ROWS(F$1:$G360),TagData[Search],0),4),"")</f>
        <v/>
      </c>
    </row>
    <row r="362" spans="1:6" x14ac:dyDescent="0.3">
      <c r="A362">
        <v>901</v>
      </c>
      <c r="B362" s="1" t="s">
        <v>325</v>
      </c>
      <c r="C362" s="1" t="s">
        <v>327</v>
      </c>
      <c r="D362" s="1" t="str">
        <f>+TagData[[#This Row],[TagName]]&amp;"_"&amp;TagData[[#This Row],[Description]]</f>
        <v>FIC37959_Flow control of ODCB to B37903B</v>
      </c>
      <c r="E362" cm="1">
        <f t="array" aca="1" ref="E362" ca="1">IF(ISNUMBER(SEARCH(INDIRECT(CELL("address")),TagData[[#This Row],[Combined]])),MAX($E$1:E361)+1,0)</f>
        <v>0</v>
      </c>
      <c r="F362" s="1" t="str">
        <f ca="1">IFERROR(INDEX(TagData[],MATCH(ROWS(F$1:$G361),TagData[Search],0),4),"")</f>
        <v/>
      </c>
    </row>
    <row r="363" spans="1:6" x14ac:dyDescent="0.3">
      <c r="A363">
        <v>902</v>
      </c>
      <c r="B363" s="1" t="s">
        <v>325</v>
      </c>
      <c r="C363" s="1" t="s">
        <v>326</v>
      </c>
      <c r="D363" s="1" t="str">
        <f>+TagData[[#This Row],[TagName]]&amp;"_"&amp;TagData[[#This Row],[Description]]</f>
        <v>FIC37959_Flow of ODCB to Sec Vac PumpB37903B</v>
      </c>
      <c r="E363" cm="1">
        <f t="array" aca="1" ref="E363" ca="1">IF(ISNUMBER(SEARCH(INDIRECT(CELL("address")),TagData[[#This Row],[Combined]])),MAX($E$1:E362)+1,0)</f>
        <v>0</v>
      </c>
      <c r="F363" s="1" t="str">
        <f ca="1">IFERROR(INDEX(TagData[],MATCH(ROWS(F$1:$G362),TagData[Search],0),4),"")</f>
        <v/>
      </c>
    </row>
    <row r="364" spans="1:6" x14ac:dyDescent="0.3">
      <c r="A364">
        <v>907</v>
      </c>
      <c r="B364" s="1" t="s">
        <v>325</v>
      </c>
      <c r="C364" s="1" t="s">
        <v>327</v>
      </c>
      <c r="D364" s="1" t="str">
        <f>+TagData[[#This Row],[TagName]]&amp;"_"&amp;TagData[[#This Row],[Description]]</f>
        <v>FIC37959_Flow control of ODCB to B37903B</v>
      </c>
      <c r="E364" cm="1">
        <f t="array" aca="1" ref="E364" ca="1">IF(ISNUMBER(SEARCH(INDIRECT(CELL("address")),TagData[[#This Row],[Combined]])),MAX($E$1:E363)+1,0)</f>
        <v>0</v>
      </c>
      <c r="F364" s="1" t="str">
        <f ca="1">IFERROR(INDEX(TagData[],MATCH(ROWS(F$1:$G363),TagData[Search],0),4),"")</f>
        <v/>
      </c>
    </row>
    <row r="365" spans="1:6" x14ac:dyDescent="0.3">
      <c r="A365">
        <v>906</v>
      </c>
      <c r="B365" s="1" t="s">
        <v>328</v>
      </c>
      <c r="C365" s="1" t="s">
        <v>329</v>
      </c>
      <c r="D365" s="1" t="str">
        <f>+TagData[[#This Row],[TagName]]&amp;"_"&amp;TagData[[#This Row],[Description]]</f>
        <v>TI37957_Temp of Secondary Sep S37903.03B</v>
      </c>
      <c r="E365" cm="1">
        <f t="array" aca="1" ref="E365" ca="1">IF(ISNUMBER(SEARCH(INDIRECT(CELL("address")),TagData[[#This Row],[Combined]])),MAX($E$1:E364)+1,0)</f>
        <v>0</v>
      </c>
      <c r="F365" s="1" t="str">
        <f ca="1">IFERROR(INDEX(TagData[],MATCH(ROWS(F$1:$G364),TagData[Search],0),4),"")</f>
        <v/>
      </c>
    </row>
    <row r="366" spans="1:6" x14ac:dyDescent="0.3">
      <c r="A366">
        <v>912</v>
      </c>
      <c r="B366" s="1" t="s">
        <v>328</v>
      </c>
      <c r="C366" s="1" t="s">
        <v>329</v>
      </c>
      <c r="D366" s="1" t="str">
        <f>+TagData[[#This Row],[TagName]]&amp;"_"&amp;TagData[[#This Row],[Description]]</f>
        <v>TI37957_Temp of Secondary Sep S37903.03B</v>
      </c>
      <c r="E366" cm="1">
        <f t="array" aca="1" ref="E366" ca="1">IF(ISNUMBER(SEARCH(INDIRECT(CELL("address")),TagData[[#This Row],[Combined]])),MAX($E$1:E365)+1,0)</f>
        <v>0</v>
      </c>
      <c r="F366" s="1" t="str">
        <f ca="1">IFERROR(INDEX(TagData[],MATCH(ROWS(F$1:$G365),TagData[Search],0),4),"")</f>
        <v/>
      </c>
    </row>
    <row r="367" spans="1:6" x14ac:dyDescent="0.3">
      <c r="A367">
        <v>911</v>
      </c>
      <c r="B367" s="1" t="s">
        <v>330</v>
      </c>
      <c r="C367" s="1" t="s">
        <v>331</v>
      </c>
      <c r="D367" s="1" t="str">
        <f>+TagData[[#This Row],[TagName]]&amp;"_"&amp;TagData[[#This Row],[Description]]</f>
        <v>TIC37956_Temp of Secondary Cooler E37903.02B</v>
      </c>
      <c r="E367" cm="1">
        <f t="array" aca="1" ref="E367" ca="1">IF(ISNUMBER(SEARCH(INDIRECT(CELL("address")),TagData[[#This Row],[Combined]])),MAX($E$1:E366)+1,0)</f>
        <v>0</v>
      </c>
      <c r="F367" s="1" t="str">
        <f ca="1">IFERROR(INDEX(TagData[],MATCH(ROWS(F$1:$G366),TagData[Search],0),4),"")</f>
        <v/>
      </c>
    </row>
    <row r="368" spans="1:6" x14ac:dyDescent="0.3">
      <c r="A368">
        <v>916</v>
      </c>
      <c r="B368" s="1" t="s">
        <v>330</v>
      </c>
      <c r="C368" s="1" t="s">
        <v>332</v>
      </c>
      <c r="D368" s="1" t="str">
        <f>+TagData[[#This Row],[TagName]]&amp;"_"&amp;TagData[[#This Row],[Description]]</f>
        <v>TIC37956_Temp Control Sec. Cooler E37903.02A</v>
      </c>
      <c r="E368" cm="1">
        <f t="array" aca="1" ref="E368" ca="1">IF(ISNUMBER(SEARCH(INDIRECT(CELL("address")),TagData[[#This Row],[Combined]])),MAX($E$1:E367)+1,0)</f>
        <v>0</v>
      </c>
      <c r="F368" s="1" t="str">
        <f ca="1">IFERROR(INDEX(TagData[],MATCH(ROWS(F$1:$G367),TagData[Search],0),4),"")</f>
        <v/>
      </c>
    </row>
    <row r="369" spans="1:6" x14ac:dyDescent="0.3">
      <c r="A369">
        <v>917</v>
      </c>
      <c r="B369" s="1" t="s">
        <v>330</v>
      </c>
      <c r="C369" s="1" t="s">
        <v>331</v>
      </c>
      <c r="D369" s="1" t="str">
        <f>+TagData[[#This Row],[TagName]]&amp;"_"&amp;TagData[[#This Row],[Description]]</f>
        <v>TIC37956_Temp of Secondary Cooler E37903.02B</v>
      </c>
      <c r="E369" cm="1">
        <f t="array" aca="1" ref="E369" ca="1">IF(ISNUMBER(SEARCH(INDIRECT(CELL("address")),TagData[[#This Row],[Combined]])),MAX($E$1:E368)+1,0)</f>
        <v>0</v>
      </c>
      <c r="F369" s="1" t="str">
        <f ca="1">IFERROR(INDEX(TagData[],MATCH(ROWS(F$1:$G368),TagData[Search],0),4),"")</f>
        <v/>
      </c>
    </row>
    <row r="370" spans="1:6" x14ac:dyDescent="0.3">
      <c r="A370">
        <v>921</v>
      </c>
      <c r="B370" s="1" t="s">
        <v>333</v>
      </c>
      <c r="C370" s="1" t="s">
        <v>334</v>
      </c>
      <c r="D370" s="1" t="str">
        <f>+TagData[[#This Row],[TagName]]&amp;"_"&amp;TagData[[#This Row],[Description]]</f>
        <v>TI37980_Temperature WCR from E37903.02B</v>
      </c>
      <c r="E370" cm="1">
        <f t="array" aca="1" ref="E370" ca="1">IF(ISNUMBER(SEARCH(INDIRECT(CELL("address")),TagData[[#This Row],[Combined]])),MAX($E$1:E369)+1,0)</f>
        <v>0</v>
      </c>
      <c r="F370" s="1" t="str">
        <f ca="1">IFERROR(INDEX(TagData[],MATCH(ROWS(F$1:$G369),TagData[Search],0),4),"")</f>
        <v/>
      </c>
    </row>
    <row r="371" spans="1:6" x14ac:dyDescent="0.3">
      <c r="A371">
        <v>922</v>
      </c>
      <c r="B371" s="1" t="s">
        <v>330</v>
      </c>
      <c r="C371" s="1" t="s">
        <v>332</v>
      </c>
      <c r="D371" s="1" t="str">
        <f>+TagData[[#This Row],[TagName]]&amp;"_"&amp;TagData[[#This Row],[Description]]</f>
        <v>TIC37956_Temp Control Sec. Cooler E37903.02A</v>
      </c>
      <c r="E371" cm="1">
        <f t="array" aca="1" ref="E371" ca="1">IF(ISNUMBER(SEARCH(INDIRECT(CELL("address")),TagData[[#This Row],[Combined]])),MAX($E$1:E370)+1,0)</f>
        <v>0</v>
      </c>
      <c r="F371" s="1" t="str">
        <f ca="1">IFERROR(INDEX(TagData[],MATCH(ROWS(F$1:$G370),TagData[Search],0),4),"")</f>
        <v/>
      </c>
    </row>
    <row r="372" spans="1:6" x14ac:dyDescent="0.3">
      <c r="A372">
        <v>927</v>
      </c>
      <c r="B372" s="1" t="s">
        <v>333</v>
      </c>
      <c r="C372" s="1" t="s">
        <v>334</v>
      </c>
      <c r="D372" s="1" t="str">
        <f>+TagData[[#This Row],[TagName]]&amp;"_"&amp;TagData[[#This Row],[Description]]</f>
        <v>TI37980_Temperature WCR from E37903.02B</v>
      </c>
      <c r="E372" cm="1">
        <f t="array" aca="1" ref="E372" ca="1">IF(ISNUMBER(SEARCH(INDIRECT(CELL("address")),TagData[[#This Row],[Combined]])),MAX($E$1:E371)+1,0)</f>
        <v>0</v>
      </c>
      <c r="F372" s="1" t="str">
        <f ca="1">IFERROR(INDEX(TagData[],MATCH(ROWS(F$1:$G371),TagData[Search],0),4),"")</f>
        <v/>
      </c>
    </row>
    <row r="373" spans="1:6" x14ac:dyDescent="0.3">
      <c r="A373">
        <v>926</v>
      </c>
      <c r="B373" s="1" t="s">
        <v>335</v>
      </c>
      <c r="C373" s="1" t="s">
        <v>336</v>
      </c>
      <c r="D373" s="1" t="str">
        <f>+TagData[[#This Row],[TagName]]&amp;"_"&amp;TagData[[#This Row],[Description]]</f>
        <v>TI37986_Temp  WCR from E37904.02B</v>
      </c>
      <c r="E373" cm="1">
        <f t="array" aca="1" ref="E373" ca="1">IF(ISNUMBER(SEARCH(INDIRECT(CELL("address")),TagData[[#This Row],[Combined]])),MAX($E$1:E372)+1,0)</f>
        <v>0</v>
      </c>
      <c r="F373" s="1" t="str">
        <f ca="1">IFERROR(INDEX(TagData[],MATCH(ROWS(F$1:$G372),TagData[Search],0),4),"")</f>
        <v/>
      </c>
    </row>
    <row r="374" spans="1:6" x14ac:dyDescent="0.3">
      <c r="A374">
        <v>931</v>
      </c>
      <c r="B374" s="1" t="s">
        <v>337</v>
      </c>
      <c r="C374" s="1" t="s">
        <v>338</v>
      </c>
      <c r="D374" s="1" t="str">
        <f>+TagData[[#This Row],[TagName]]&amp;"_"&amp;TagData[[#This Row],[Description]]</f>
        <v>TI37984_Temp  WCR from E37904.02A</v>
      </c>
      <c r="E374" cm="1">
        <f t="array" aca="1" ref="E374" ca="1">IF(ISNUMBER(SEARCH(INDIRECT(CELL("address")),TagData[[#This Row],[Combined]])),MAX($E$1:E373)+1,0)</f>
        <v>0</v>
      </c>
      <c r="F374" s="1" t="str">
        <f ca="1">IFERROR(INDEX(TagData[],MATCH(ROWS(F$1:$G373),TagData[Search],0),4),"")</f>
        <v/>
      </c>
    </row>
    <row r="375" spans="1:6" x14ac:dyDescent="0.3">
      <c r="A375">
        <v>932</v>
      </c>
      <c r="B375" s="1" t="s">
        <v>335</v>
      </c>
      <c r="C375" s="1" t="s">
        <v>336</v>
      </c>
      <c r="D375" s="1" t="str">
        <f>+TagData[[#This Row],[TagName]]&amp;"_"&amp;TagData[[#This Row],[Description]]</f>
        <v>TI37986_Temp  WCR from E37904.02B</v>
      </c>
      <c r="E375" cm="1">
        <f t="array" aca="1" ref="E375" ca="1">IF(ISNUMBER(SEARCH(INDIRECT(CELL("address")),TagData[[#This Row],[Combined]])),MAX($E$1:E374)+1,0)</f>
        <v>0</v>
      </c>
      <c r="F375" s="1" t="str">
        <f ca="1">IFERROR(INDEX(TagData[],MATCH(ROWS(F$1:$G374),TagData[Search],0),4),"")</f>
        <v/>
      </c>
    </row>
    <row r="376" spans="1:6" x14ac:dyDescent="0.3">
      <c r="A376">
        <v>936</v>
      </c>
      <c r="B376" s="1" t="s">
        <v>339</v>
      </c>
      <c r="C376" s="1" t="s">
        <v>340</v>
      </c>
      <c r="D376" s="1" t="str">
        <f>+TagData[[#This Row],[TagName]]&amp;"_"&amp;TagData[[#This Row],[Description]]</f>
        <v>LI37962_Level  Purification Sep S37904.03A_1</v>
      </c>
      <c r="E376" cm="1">
        <f t="array" aca="1" ref="E376" ca="1">IF(ISNUMBER(SEARCH(INDIRECT(CELL("address")),TagData[[#This Row],[Combined]])),MAX($E$1:E375)+1,0)</f>
        <v>0</v>
      </c>
      <c r="F376" s="1" t="str">
        <f ca="1">IFERROR(INDEX(TagData[],MATCH(ROWS(F$1:$G375),TagData[Search],0),4),"")</f>
        <v/>
      </c>
    </row>
    <row r="377" spans="1:6" x14ac:dyDescent="0.3">
      <c r="A377">
        <v>937</v>
      </c>
      <c r="B377" s="1" t="s">
        <v>337</v>
      </c>
      <c r="C377" s="1" t="s">
        <v>338</v>
      </c>
      <c r="D377" s="1" t="str">
        <f>+TagData[[#This Row],[TagName]]&amp;"_"&amp;TagData[[#This Row],[Description]]</f>
        <v>TI37984_Temp  WCR from E37904.02A</v>
      </c>
      <c r="E377" cm="1">
        <f t="array" aca="1" ref="E377" ca="1">IF(ISNUMBER(SEARCH(INDIRECT(CELL("address")),TagData[[#This Row],[Combined]])),MAX($E$1:E376)+1,0)</f>
        <v>0</v>
      </c>
      <c r="F377" s="1" t="str">
        <f ca="1">IFERROR(INDEX(TagData[],MATCH(ROWS(F$1:$G376),TagData[Search],0),4),"")</f>
        <v/>
      </c>
    </row>
    <row r="378" spans="1:6" x14ac:dyDescent="0.3">
      <c r="A378">
        <v>941</v>
      </c>
      <c r="B378" s="1" t="s">
        <v>341</v>
      </c>
      <c r="C378" s="1" t="s">
        <v>342</v>
      </c>
      <c r="D378" s="1" t="str">
        <f>+TagData[[#This Row],[TagName]]&amp;"_"&amp;TagData[[#This Row],[Description]]</f>
        <v>FI37970_Flow frm E37904.02A to B37904B</v>
      </c>
      <c r="E378" cm="1">
        <f t="array" aca="1" ref="E378" ca="1">IF(ISNUMBER(SEARCH(INDIRECT(CELL("address")),TagData[[#This Row],[Combined]])),MAX($E$1:E377)+1,0)</f>
        <v>0</v>
      </c>
      <c r="F378" s="1" t="str">
        <f ca="1">IFERROR(INDEX(TagData[],MATCH(ROWS(F$1:$G377),TagData[Search],0),4),"")</f>
        <v/>
      </c>
    </row>
    <row r="379" spans="1:6" x14ac:dyDescent="0.3">
      <c r="A379">
        <v>942</v>
      </c>
      <c r="B379" s="1" t="s">
        <v>339</v>
      </c>
      <c r="C379" s="1" t="s">
        <v>340</v>
      </c>
      <c r="D379" s="1" t="str">
        <f>+TagData[[#This Row],[TagName]]&amp;"_"&amp;TagData[[#This Row],[Description]]</f>
        <v>LI37962_Level  Purification Sep S37904.03A_1</v>
      </c>
      <c r="E379" cm="1">
        <f t="array" aca="1" ref="E379" ca="1">IF(ISNUMBER(SEARCH(INDIRECT(CELL("address")),TagData[[#This Row],[Combined]])),MAX($E$1:E378)+1,0)</f>
        <v>0</v>
      </c>
      <c r="F379" s="1" t="str">
        <f ca="1">IFERROR(INDEX(TagData[],MATCH(ROWS(F$1:$G378),TagData[Search],0),4),"")</f>
        <v/>
      </c>
    </row>
    <row r="380" spans="1:6" x14ac:dyDescent="0.3">
      <c r="A380">
        <v>947</v>
      </c>
      <c r="B380" s="1" t="s">
        <v>341</v>
      </c>
      <c r="C380" s="1" t="s">
        <v>342</v>
      </c>
      <c r="D380" s="1" t="str">
        <f>+TagData[[#This Row],[TagName]]&amp;"_"&amp;TagData[[#This Row],[Description]]</f>
        <v>FI37970_Flow frm E37904.02A to B37904B</v>
      </c>
      <c r="E380" cm="1">
        <f t="array" aca="1" ref="E380" ca="1">IF(ISNUMBER(SEARCH(INDIRECT(CELL("address")),TagData[[#This Row],[Combined]])),MAX($E$1:E379)+1,0)</f>
        <v>0</v>
      </c>
      <c r="F380" s="1" t="str">
        <f ca="1">IFERROR(INDEX(TagData[],MATCH(ROWS(F$1:$G379),TagData[Search],0),4),"")</f>
        <v/>
      </c>
    </row>
    <row r="381" spans="1:6" x14ac:dyDescent="0.3">
      <c r="A381">
        <v>946</v>
      </c>
      <c r="B381" s="1" t="s">
        <v>343</v>
      </c>
      <c r="C381" s="1" t="s">
        <v>344</v>
      </c>
      <c r="D381" s="1" t="str">
        <f>+TagData[[#This Row],[TagName]]&amp;"_"&amp;TagData[[#This Row],[Description]]</f>
        <v>PIC37964_Pressure of  B37904A Suction</v>
      </c>
      <c r="E381" cm="1">
        <f t="array" aca="1" ref="E381" ca="1">IF(ISNUMBER(SEARCH(INDIRECT(CELL("address")),TagData[[#This Row],[Combined]])),MAX($E$1:E380)+1,0)</f>
        <v>0</v>
      </c>
      <c r="F381" s="1" t="str">
        <f ca="1">IFERROR(INDEX(TagData[],MATCH(ROWS(F$1:$G380),TagData[Search],0),4),"")</f>
        <v/>
      </c>
    </row>
    <row r="382" spans="1:6" x14ac:dyDescent="0.3">
      <c r="A382">
        <v>951</v>
      </c>
      <c r="B382" s="1" t="s">
        <v>343</v>
      </c>
      <c r="C382" s="1" t="s">
        <v>345</v>
      </c>
      <c r="D382" s="1" t="str">
        <f>+TagData[[#This Row],[TagName]]&amp;"_"&amp;TagData[[#This Row],[Description]]</f>
        <v>PIC37964_Pressure Control B37904A Suction</v>
      </c>
      <c r="E382" cm="1">
        <f t="array" aca="1" ref="E382" ca="1">IF(ISNUMBER(SEARCH(INDIRECT(CELL("address")),TagData[[#This Row],[Combined]])),MAX($E$1:E381)+1,0)</f>
        <v>0</v>
      </c>
      <c r="F382" s="1" t="str">
        <f ca="1">IFERROR(INDEX(TagData[],MATCH(ROWS(F$1:$G381),TagData[Search],0),4),"")</f>
        <v/>
      </c>
    </row>
    <row r="383" spans="1:6" x14ac:dyDescent="0.3">
      <c r="A383">
        <v>952</v>
      </c>
      <c r="B383" s="1" t="s">
        <v>343</v>
      </c>
      <c r="C383" s="1" t="s">
        <v>344</v>
      </c>
      <c r="D383" s="1" t="str">
        <f>+TagData[[#This Row],[TagName]]&amp;"_"&amp;TagData[[#This Row],[Description]]</f>
        <v>PIC37964_Pressure of  B37904A Suction</v>
      </c>
      <c r="E383" cm="1">
        <f t="array" aca="1" ref="E383" ca="1">IF(ISNUMBER(SEARCH(INDIRECT(CELL("address")),TagData[[#This Row],[Combined]])),MAX($E$1:E382)+1,0)</f>
        <v>0</v>
      </c>
      <c r="F383" s="1" t="str">
        <f ca="1">IFERROR(INDEX(TagData[],MATCH(ROWS(F$1:$G382),TagData[Search],0),4),"")</f>
        <v/>
      </c>
    </row>
    <row r="384" spans="1:6" x14ac:dyDescent="0.3">
      <c r="A384">
        <v>957</v>
      </c>
      <c r="B384" s="1" t="s">
        <v>343</v>
      </c>
      <c r="C384" s="1" t="s">
        <v>345</v>
      </c>
      <c r="D384" s="1" t="str">
        <f>+TagData[[#This Row],[TagName]]&amp;"_"&amp;TagData[[#This Row],[Description]]</f>
        <v>PIC37964_Pressure Control B37904A Suction</v>
      </c>
      <c r="E384" cm="1">
        <f t="array" aca="1" ref="E384" ca="1">IF(ISNUMBER(SEARCH(INDIRECT(CELL("address")),TagData[[#This Row],[Combined]])),MAX($E$1:E383)+1,0)</f>
        <v>0</v>
      </c>
      <c r="F384" s="1" t="str">
        <f ca="1">IFERROR(INDEX(TagData[],MATCH(ROWS(F$1:$G383),TagData[Search],0),4),"")</f>
        <v/>
      </c>
    </row>
    <row r="385" spans="1:6" x14ac:dyDescent="0.3">
      <c r="A385">
        <v>956</v>
      </c>
      <c r="B385" s="1" t="s">
        <v>346</v>
      </c>
      <c r="C385" s="1" t="s">
        <v>347</v>
      </c>
      <c r="D385" s="1" t="str">
        <f>+TagData[[#This Row],[TagName]]&amp;"_"&amp;TagData[[#This Row],[Description]]</f>
        <v>TI37968_Temp of Puri vac Pump B37904A</v>
      </c>
      <c r="E385" cm="1">
        <f t="array" aca="1" ref="E385" ca="1">IF(ISNUMBER(SEARCH(INDIRECT(CELL("address")),TagData[[#This Row],[Combined]])),MAX($E$1:E384)+1,0)</f>
        <v>0</v>
      </c>
      <c r="F385" s="1" t="str">
        <f ca="1">IFERROR(INDEX(TagData[],MATCH(ROWS(F$1:$G384),TagData[Search],0),4),"")</f>
        <v/>
      </c>
    </row>
    <row r="386" spans="1:6" x14ac:dyDescent="0.3">
      <c r="A386">
        <v>961</v>
      </c>
      <c r="B386" s="1" t="s">
        <v>348</v>
      </c>
      <c r="C386" s="1" t="s">
        <v>349</v>
      </c>
      <c r="D386" s="1" t="str">
        <f>+TagData[[#This Row],[TagName]]&amp;"_"&amp;TagData[[#This Row],[Description]]</f>
        <v>FI37980_Flow frm E37904.02B to B37904B</v>
      </c>
      <c r="E386" cm="1">
        <f t="array" aca="1" ref="E386" ca="1">IF(ISNUMBER(SEARCH(INDIRECT(CELL("address")),TagData[[#This Row],[Combined]])),MAX($E$1:E385)+1,0)</f>
        <v>0</v>
      </c>
      <c r="F386" s="1" t="str">
        <f ca="1">IFERROR(INDEX(TagData[],MATCH(ROWS(F$1:$G385),TagData[Search],0),4),"")</f>
        <v/>
      </c>
    </row>
    <row r="387" spans="1:6" x14ac:dyDescent="0.3">
      <c r="A387">
        <v>962</v>
      </c>
      <c r="B387" s="1" t="s">
        <v>346</v>
      </c>
      <c r="C387" s="1" t="s">
        <v>347</v>
      </c>
      <c r="D387" s="1" t="str">
        <f>+TagData[[#This Row],[TagName]]&amp;"_"&amp;TagData[[#This Row],[Description]]</f>
        <v>TI37968_Temp of Puri vac Pump B37904A</v>
      </c>
      <c r="E387" cm="1">
        <f t="array" aca="1" ref="E387" ca="1">IF(ISNUMBER(SEARCH(INDIRECT(CELL("address")),TagData[[#This Row],[Combined]])),MAX($E$1:E386)+1,0)</f>
        <v>0</v>
      </c>
      <c r="F387" s="1" t="str">
        <f ca="1">IFERROR(INDEX(TagData[],MATCH(ROWS(F$1:$G386),TagData[Search],0),4),"")</f>
        <v/>
      </c>
    </row>
    <row r="388" spans="1:6" x14ac:dyDescent="0.3">
      <c r="A388">
        <v>967</v>
      </c>
      <c r="B388" s="1" t="s">
        <v>348</v>
      </c>
      <c r="C388" s="1" t="s">
        <v>349</v>
      </c>
      <c r="D388" s="1" t="str">
        <f>+TagData[[#This Row],[TagName]]&amp;"_"&amp;TagData[[#This Row],[Description]]</f>
        <v>FI37980_Flow frm E37904.02B to B37904B</v>
      </c>
      <c r="E388" cm="1">
        <f t="array" aca="1" ref="E388" ca="1">IF(ISNUMBER(SEARCH(INDIRECT(CELL("address")),TagData[[#This Row],[Combined]])),MAX($E$1:E387)+1,0)</f>
        <v>0</v>
      </c>
      <c r="F388" s="1" t="str">
        <f ca="1">IFERROR(INDEX(TagData[],MATCH(ROWS(F$1:$G387),TagData[Search],0),4),"")</f>
        <v/>
      </c>
    </row>
    <row r="389" spans="1:6" x14ac:dyDescent="0.3">
      <c r="A389">
        <v>966</v>
      </c>
      <c r="B389" s="1" t="s">
        <v>350</v>
      </c>
      <c r="C389" s="1" t="s">
        <v>351</v>
      </c>
      <c r="D389" s="1" t="str">
        <f>+TagData[[#This Row],[TagName]]&amp;"_"&amp;TagData[[#This Row],[Description]]</f>
        <v>LI37972_Level  Purification Sep S37904.03B</v>
      </c>
      <c r="E389" cm="1">
        <f t="array" aca="1" ref="E389" ca="1">IF(ISNUMBER(SEARCH(INDIRECT(CELL("address")),TagData[[#This Row],[Combined]])),MAX($E$1:E388)+1,0)</f>
        <v>0</v>
      </c>
      <c r="F389" s="1" t="str">
        <f ca="1">IFERROR(INDEX(TagData[],MATCH(ROWS(F$1:$G388),TagData[Search],0),4),"")</f>
        <v/>
      </c>
    </row>
    <row r="390" spans="1:6" x14ac:dyDescent="0.3">
      <c r="A390">
        <v>972</v>
      </c>
      <c r="B390" s="1" t="s">
        <v>350</v>
      </c>
      <c r="C390" s="1" t="s">
        <v>351</v>
      </c>
      <c r="D390" s="1" t="str">
        <f>+TagData[[#This Row],[TagName]]&amp;"_"&amp;TagData[[#This Row],[Description]]</f>
        <v>LI37972_Level  Purification Sep S37904.03B</v>
      </c>
      <c r="E390" cm="1">
        <f t="array" aca="1" ref="E390" ca="1">IF(ISNUMBER(SEARCH(INDIRECT(CELL("address")),TagData[[#This Row],[Combined]])),MAX($E$1:E389)+1,0)</f>
        <v>0</v>
      </c>
      <c r="F390" s="1" t="str">
        <f ca="1">IFERROR(INDEX(TagData[],MATCH(ROWS(F$1:$G389),TagData[Search],0),4),"")</f>
        <v/>
      </c>
    </row>
    <row r="391" spans="1:6" x14ac:dyDescent="0.3">
      <c r="A391">
        <v>971</v>
      </c>
      <c r="B391" s="1" t="s">
        <v>352</v>
      </c>
      <c r="C391" s="1" t="s">
        <v>353</v>
      </c>
      <c r="D391" s="1" t="str">
        <f>+TagData[[#This Row],[TagName]]&amp;"_"&amp;TagData[[#This Row],[Description]]</f>
        <v>TI37975_Temp of Puri vac Pump B37904B</v>
      </c>
      <c r="E391" cm="1">
        <f t="array" aca="1" ref="E391" ca="1">IF(ISNUMBER(SEARCH(INDIRECT(CELL("address")),TagData[[#This Row],[Combined]])),MAX($E$1:E390)+1,0)</f>
        <v>0</v>
      </c>
      <c r="F391" s="1" t="str">
        <f ca="1">IFERROR(INDEX(TagData[],MATCH(ROWS(F$1:$G390),TagData[Search],0),4),"")</f>
        <v/>
      </c>
    </row>
    <row r="392" spans="1:6" x14ac:dyDescent="0.3">
      <c r="A392">
        <v>976</v>
      </c>
      <c r="B392" s="1" t="s">
        <v>354</v>
      </c>
      <c r="C392" s="1" t="s">
        <v>355</v>
      </c>
      <c r="D392" s="1" t="str">
        <f>+TagData[[#This Row],[TagName]]&amp;"_"&amp;TagData[[#This Row],[Description]]</f>
        <v>FIC37969_Flow of ODCB to B37904A</v>
      </c>
      <c r="E392" cm="1">
        <f t="array" aca="1" ref="E392" ca="1">IF(ISNUMBER(SEARCH(INDIRECT(CELL("address")),TagData[[#This Row],[Combined]])),MAX($E$1:E391)+1,0)</f>
        <v>0</v>
      </c>
      <c r="F392" s="1" t="str">
        <f ca="1">IFERROR(INDEX(TagData[],MATCH(ROWS(F$1:$G391),TagData[Search],0),4),"")</f>
        <v/>
      </c>
    </row>
    <row r="393" spans="1:6" x14ac:dyDescent="0.3">
      <c r="A393">
        <v>977</v>
      </c>
      <c r="B393" s="1" t="s">
        <v>352</v>
      </c>
      <c r="C393" s="1" t="s">
        <v>353</v>
      </c>
      <c r="D393" s="1" t="str">
        <f>+TagData[[#This Row],[TagName]]&amp;"_"&amp;TagData[[#This Row],[Description]]</f>
        <v>TI37975_Temp of Puri vac Pump B37904B</v>
      </c>
      <c r="E393" cm="1">
        <f t="array" aca="1" ref="E393" ca="1">IF(ISNUMBER(SEARCH(INDIRECT(CELL("address")),TagData[[#This Row],[Combined]])),MAX($E$1:E392)+1,0)</f>
        <v>0</v>
      </c>
      <c r="F393" s="1" t="str">
        <f ca="1">IFERROR(INDEX(TagData[],MATCH(ROWS(F$1:$G392),TagData[Search],0),4),"")</f>
        <v/>
      </c>
    </row>
    <row r="394" spans="1:6" x14ac:dyDescent="0.3">
      <c r="A394">
        <v>981</v>
      </c>
      <c r="B394" s="1" t="s">
        <v>354</v>
      </c>
      <c r="C394" s="1" t="s">
        <v>356</v>
      </c>
      <c r="D394" s="1" t="str">
        <f>+TagData[[#This Row],[TagName]]&amp;"_"&amp;TagData[[#This Row],[Description]]</f>
        <v>FIC37969_Flow control of ODCB to B37904A</v>
      </c>
      <c r="E394" cm="1">
        <f t="array" aca="1" ref="E394" ca="1">IF(ISNUMBER(SEARCH(INDIRECT(CELL("address")),TagData[[#This Row],[Combined]])),MAX($E$1:E393)+1,0)</f>
        <v>0</v>
      </c>
      <c r="F394" s="1" t="str">
        <f ca="1">IFERROR(INDEX(TagData[],MATCH(ROWS(F$1:$G393),TagData[Search],0),4),"")</f>
        <v/>
      </c>
    </row>
    <row r="395" spans="1:6" x14ac:dyDescent="0.3">
      <c r="A395">
        <v>982</v>
      </c>
      <c r="B395" s="1" t="s">
        <v>354</v>
      </c>
      <c r="C395" s="1" t="s">
        <v>355</v>
      </c>
      <c r="D395" s="1" t="str">
        <f>+TagData[[#This Row],[TagName]]&amp;"_"&amp;TagData[[#This Row],[Description]]</f>
        <v>FIC37969_Flow of ODCB to B37904A</v>
      </c>
      <c r="E395" cm="1">
        <f t="array" aca="1" ref="E395" ca="1">IF(ISNUMBER(SEARCH(INDIRECT(CELL("address")),TagData[[#This Row],[Combined]])),MAX($E$1:E394)+1,0)</f>
        <v>0</v>
      </c>
      <c r="F395" s="1" t="str">
        <f ca="1">IFERROR(INDEX(TagData[],MATCH(ROWS(F$1:$G394),TagData[Search],0),4),"")</f>
        <v/>
      </c>
    </row>
    <row r="396" spans="1:6" x14ac:dyDescent="0.3">
      <c r="A396">
        <v>987</v>
      </c>
      <c r="B396" s="1" t="s">
        <v>354</v>
      </c>
      <c r="C396" s="1" t="s">
        <v>356</v>
      </c>
      <c r="D396" s="1" t="str">
        <f>+TagData[[#This Row],[TagName]]&amp;"_"&amp;TagData[[#This Row],[Description]]</f>
        <v>FIC37969_Flow control of ODCB to B37904A</v>
      </c>
      <c r="E396" cm="1">
        <f t="array" aca="1" ref="E396" ca="1">IF(ISNUMBER(SEARCH(INDIRECT(CELL("address")),TagData[[#This Row],[Combined]])),MAX($E$1:E395)+1,0)</f>
        <v>0</v>
      </c>
      <c r="F396" s="1" t="str">
        <f ca="1">IFERROR(INDEX(TagData[],MATCH(ROWS(F$1:$G395),TagData[Search],0),4),"")</f>
        <v/>
      </c>
    </row>
    <row r="397" spans="1:6" x14ac:dyDescent="0.3">
      <c r="A397">
        <v>986</v>
      </c>
      <c r="B397" s="1" t="s">
        <v>357</v>
      </c>
      <c r="C397" s="1" t="s">
        <v>358</v>
      </c>
      <c r="D397" s="1" t="str">
        <f>+TagData[[#This Row],[TagName]]&amp;"_"&amp;TagData[[#This Row],[Description]]</f>
        <v>TI37967_Temp of Puri. Sep. S37904.03A</v>
      </c>
      <c r="E397" cm="1">
        <f t="array" aca="1" ref="E397" ca="1">IF(ISNUMBER(SEARCH(INDIRECT(CELL("address")),TagData[[#This Row],[Combined]])),MAX($E$1:E396)+1,0)</f>
        <v>0</v>
      </c>
      <c r="F397" s="1" t="str">
        <f ca="1">IFERROR(INDEX(TagData[],MATCH(ROWS(F$1:$G396),TagData[Search],0),4),"")</f>
        <v/>
      </c>
    </row>
    <row r="398" spans="1:6" x14ac:dyDescent="0.3">
      <c r="A398">
        <v>992</v>
      </c>
      <c r="B398" s="1" t="s">
        <v>357</v>
      </c>
      <c r="C398" s="1" t="s">
        <v>358</v>
      </c>
      <c r="D398" s="1" t="str">
        <f>+TagData[[#This Row],[TagName]]&amp;"_"&amp;TagData[[#This Row],[Description]]</f>
        <v>TI37967_Temp of Puri. Sep. S37904.03A</v>
      </c>
      <c r="E398" cm="1">
        <f t="array" aca="1" ref="E398" ca="1">IF(ISNUMBER(SEARCH(INDIRECT(CELL("address")),TagData[[#This Row],[Combined]])),MAX($E$1:E397)+1,0)</f>
        <v>0</v>
      </c>
      <c r="F398" s="1" t="str">
        <f ca="1">IFERROR(INDEX(TagData[],MATCH(ROWS(F$1:$G397),TagData[Search],0),4),"")</f>
        <v/>
      </c>
    </row>
    <row r="399" spans="1:6" x14ac:dyDescent="0.3">
      <c r="A399">
        <v>991</v>
      </c>
      <c r="B399" s="1" t="s">
        <v>359</v>
      </c>
      <c r="C399" s="1" t="s">
        <v>360</v>
      </c>
      <c r="D399" s="1" t="str">
        <f>+TagData[[#This Row],[TagName]]&amp;"_"&amp;TagData[[#This Row],[Description]]</f>
        <v>TIC37966_Temp of Puri. Cooler E37904.02A</v>
      </c>
      <c r="E399" cm="1">
        <f t="array" aca="1" ref="E399" ca="1">IF(ISNUMBER(SEARCH(INDIRECT(CELL("address")),TagData[[#This Row],[Combined]])),MAX($E$1:E398)+1,0)</f>
        <v>0</v>
      </c>
      <c r="F399" s="1" t="str">
        <f ca="1">IFERROR(INDEX(TagData[],MATCH(ROWS(F$1:$G398),TagData[Search],0),4),"")</f>
        <v/>
      </c>
    </row>
    <row r="400" spans="1:6" x14ac:dyDescent="0.3">
      <c r="A400">
        <v>996</v>
      </c>
      <c r="B400" s="1" t="s">
        <v>359</v>
      </c>
      <c r="C400" s="1" t="s">
        <v>361</v>
      </c>
      <c r="D400" s="1" t="str">
        <f>+TagData[[#This Row],[TagName]]&amp;"_"&amp;TagData[[#This Row],[Description]]</f>
        <v>TIC37966_Temp Control Puri Cooler E37904.02A</v>
      </c>
      <c r="E400" cm="1">
        <f t="array" aca="1" ref="E400" ca="1">IF(ISNUMBER(SEARCH(INDIRECT(CELL("address")),TagData[[#This Row],[Combined]])),MAX($E$1:E399)+1,0)</f>
        <v>0</v>
      </c>
      <c r="F400" s="1" t="str">
        <f ca="1">IFERROR(INDEX(TagData[],MATCH(ROWS(F$1:$G399),TagData[Search],0),4),"")</f>
        <v/>
      </c>
    </row>
    <row r="401" spans="1:6" x14ac:dyDescent="0.3">
      <c r="A401">
        <v>997</v>
      </c>
      <c r="B401" s="1" t="s">
        <v>359</v>
      </c>
      <c r="C401" s="1" t="s">
        <v>360</v>
      </c>
      <c r="D401" s="1" t="str">
        <f>+TagData[[#This Row],[TagName]]&amp;"_"&amp;TagData[[#This Row],[Description]]</f>
        <v>TIC37966_Temp of Puri. Cooler E37904.02A</v>
      </c>
      <c r="E401" cm="1">
        <f t="array" aca="1" ref="E401" ca="1">IF(ISNUMBER(SEARCH(INDIRECT(CELL("address")),TagData[[#This Row],[Combined]])),MAX($E$1:E400)+1,0)</f>
        <v>0</v>
      </c>
      <c r="F401" s="1" t="str">
        <f ca="1">IFERROR(INDEX(TagData[],MATCH(ROWS(F$1:$G400),TagData[Search],0),4),"")</f>
        <v/>
      </c>
    </row>
    <row r="402" spans="1:6" x14ac:dyDescent="0.3">
      <c r="A402">
        <v>1001</v>
      </c>
      <c r="B402" s="1" t="s">
        <v>362</v>
      </c>
      <c r="C402" s="1" t="s">
        <v>363</v>
      </c>
      <c r="D402" s="1" t="str">
        <f>+TagData[[#This Row],[TagName]]&amp;"_"&amp;TagData[[#This Row],[Description]]</f>
        <v>FIC37979_Flow of ODCB to B37904B</v>
      </c>
      <c r="E402" cm="1">
        <f t="array" aca="1" ref="E402" ca="1">IF(ISNUMBER(SEARCH(INDIRECT(CELL("address")),TagData[[#This Row],[Combined]])),MAX($E$1:E401)+1,0)</f>
        <v>0</v>
      </c>
      <c r="F402" s="1" t="str">
        <f ca="1">IFERROR(INDEX(TagData[],MATCH(ROWS(F$1:$G401),TagData[Search],0),4),"")</f>
        <v/>
      </c>
    </row>
    <row r="403" spans="1:6" x14ac:dyDescent="0.3">
      <c r="A403">
        <v>1002</v>
      </c>
      <c r="B403" s="1" t="s">
        <v>359</v>
      </c>
      <c r="C403" s="1" t="s">
        <v>361</v>
      </c>
      <c r="D403" s="1" t="str">
        <f>+TagData[[#This Row],[TagName]]&amp;"_"&amp;TagData[[#This Row],[Description]]</f>
        <v>TIC37966_Temp Control Puri Cooler E37904.02A</v>
      </c>
      <c r="E403" cm="1">
        <f t="array" aca="1" ref="E403" ca="1">IF(ISNUMBER(SEARCH(INDIRECT(CELL("address")),TagData[[#This Row],[Combined]])),MAX($E$1:E402)+1,0)</f>
        <v>0</v>
      </c>
      <c r="F403" s="1" t="str">
        <f ca="1">IFERROR(INDEX(TagData[],MATCH(ROWS(F$1:$G402),TagData[Search],0),4),"")</f>
        <v/>
      </c>
    </row>
    <row r="404" spans="1:6" x14ac:dyDescent="0.3">
      <c r="A404">
        <v>1006</v>
      </c>
      <c r="B404" s="1" t="s">
        <v>362</v>
      </c>
      <c r="C404" s="1" t="s">
        <v>364</v>
      </c>
      <c r="D404" s="1" t="str">
        <f>+TagData[[#This Row],[TagName]]&amp;"_"&amp;TagData[[#This Row],[Description]]</f>
        <v>FIC37979_Flow Control of ODCB to B37904B</v>
      </c>
      <c r="E404" cm="1">
        <f t="array" aca="1" ref="E404" ca="1">IF(ISNUMBER(SEARCH(INDIRECT(CELL("address")),TagData[[#This Row],[Combined]])),MAX($E$1:E403)+1,0)</f>
        <v>0</v>
      </c>
      <c r="F404" s="1" t="str">
        <f ca="1">IFERROR(INDEX(TagData[],MATCH(ROWS(F$1:$G403),TagData[Search],0),4),"")</f>
        <v/>
      </c>
    </row>
    <row r="405" spans="1:6" x14ac:dyDescent="0.3">
      <c r="A405">
        <v>1007</v>
      </c>
      <c r="B405" s="1" t="s">
        <v>362</v>
      </c>
      <c r="C405" s="1" t="s">
        <v>363</v>
      </c>
      <c r="D405" s="1" t="str">
        <f>+TagData[[#This Row],[TagName]]&amp;"_"&amp;TagData[[#This Row],[Description]]</f>
        <v>FIC37979_Flow of ODCB to B37904B</v>
      </c>
      <c r="E405" cm="1">
        <f t="array" aca="1" ref="E405" ca="1">IF(ISNUMBER(SEARCH(INDIRECT(CELL("address")),TagData[[#This Row],[Combined]])),MAX($E$1:E404)+1,0)</f>
        <v>0</v>
      </c>
      <c r="F405" s="1" t="str">
        <f ca="1">IFERROR(INDEX(TagData[],MATCH(ROWS(F$1:$G404),TagData[Search],0),4),"")</f>
        <v/>
      </c>
    </row>
    <row r="406" spans="1:6" x14ac:dyDescent="0.3">
      <c r="A406">
        <v>1012</v>
      </c>
      <c r="B406" s="1" t="s">
        <v>362</v>
      </c>
      <c r="C406" s="1" t="s">
        <v>364</v>
      </c>
      <c r="D406" s="1" t="str">
        <f>+TagData[[#This Row],[TagName]]&amp;"_"&amp;TagData[[#This Row],[Description]]</f>
        <v>FIC37979_Flow Control of ODCB to B37904B</v>
      </c>
      <c r="E406" cm="1">
        <f t="array" aca="1" ref="E406" ca="1">IF(ISNUMBER(SEARCH(INDIRECT(CELL("address")),TagData[[#This Row],[Combined]])),MAX($E$1:E405)+1,0)</f>
        <v>0</v>
      </c>
      <c r="F406" s="1" t="str">
        <f ca="1">IFERROR(INDEX(TagData[],MATCH(ROWS(F$1:$G405),TagData[Search],0),4),"")</f>
        <v/>
      </c>
    </row>
    <row r="407" spans="1:6" x14ac:dyDescent="0.3">
      <c r="A407">
        <v>1011</v>
      </c>
      <c r="B407" s="1" t="s">
        <v>365</v>
      </c>
      <c r="C407" s="1" t="s">
        <v>366</v>
      </c>
      <c r="D407" s="1" t="str">
        <f>+TagData[[#This Row],[TagName]]&amp;"_"&amp;TagData[[#This Row],[Description]]</f>
        <v>PIC37974_Pressure of B37904B Suction</v>
      </c>
      <c r="E407" cm="1">
        <f t="array" aca="1" ref="E407" ca="1">IF(ISNUMBER(SEARCH(INDIRECT(CELL("address")),TagData[[#This Row],[Combined]])),MAX($E$1:E406)+1,0)</f>
        <v>0</v>
      </c>
      <c r="F407" s="1" t="str">
        <f ca="1">IFERROR(INDEX(TagData[],MATCH(ROWS(F$1:$G406),TagData[Search],0),4),"")</f>
        <v/>
      </c>
    </row>
    <row r="408" spans="1:6" x14ac:dyDescent="0.3">
      <c r="A408">
        <v>1016</v>
      </c>
      <c r="B408" s="1" t="s">
        <v>365</v>
      </c>
      <c r="C408" s="1" t="s">
        <v>367</v>
      </c>
      <c r="D408" s="1" t="str">
        <f>+TagData[[#This Row],[TagName]]&amp;"_"&amp;TagData[[#This Row],[Description]]</f>
        <v>PIC37974_ Pressure control B37904B Suction</v>
      </c>
      <c r="E408" cm="1">
        <f t="array" aca="1" ref="E408" ca="1">IF(ISNUMBER(SEARCH(INDIRECT(CELL("address")),TagData[[#This Row],[Combined]])),MAX($E$1:E407)+1,0)</f>
        <v>0</v>
      </c>
      <c r="F408" s="1" t="str">
        <f ca="1">IFERROR(INDEX(TagData[],MATCH(ROWS(F$1:$G407),TagData[Search],0),4),"")</f>
        <v/>
      </c>
    </row>
    <row r="409" spans="1:6" x14ac:dyDescent="0.3">
      <c r="A409">
        <v>1017</v>
      </c>
      <c r="B409" s="1" t="s">
        <v>365</v>
      </c>
      <c r="C409" s="1" t="s">
        <v>366</v>
      </c>
      <c r="D409" s="1" t="str">
        <f>+TagData[[#This Row],[TagName]]&amp;"_"&amp;TagData[[#This Row],[Description]]</f>
        <v>PIC37974_Pressure of B37904B Suction</v>
      </c>
      <c r="E409" cm="1">
        <f t="array" aca="1" ref="E409" ca="1">IF(ISNUMBER(SEARCH(INDIRECT(CELL("address")),TagData[[#This Row],[Combined]])),MAX($E$1:E408)+1,0)</f>
        <v>0</v>
      </c>
      <c r="F409" s="1" t="str">
        <f ca="1">IFERROR(INDEX(TagData[],MATCH(ROWS(F$1:$G408),TagData[Search],0),4),"")</f>
        <v/>
      </c>
    </row>
    <row r="410" spans="1:6" x14ac:dyDescent="0.3">
      <c r="A410">
        <v>1022</v>
      </c>
      <c r="B410" s="1" t="s">
        <v>365</v>
      </c>
      <c r="C410" s="1" t="s">
        <v>367</v>
      </c>
      <c r="D410" s="1" t="str">
        <f>+TagData[[#This Row],[TagName]]&amp;"_"&amp;TagData[[#This Row],[Description]]</f>
        <v>PIC37974_ Pressure control B37904B Suction</v>
      </c>
      <c r="E410" cm="1">
        <f t="array" aca="1" ref="E410" ca="1">IF(ISNUMBER(SEARCH(INDIRECT(CELL("address")),TagData[[#This Row],[Combined]])),MAX($E$1:E409)+1,0)</f>
        <v>0</v>
      </c>
      <c r="F410" s="1" t="str">
        <f ca="1">IFERROR(INDEX(TagData[],MATCH(ROWS(F$1:$G409),TagData[Search],0),4),"")</f>
        <v/>
      </c>
    </row>
    <row r="411" spans="1:6" x14ac:dyDescent="0.3">
      <c r="A411">
        <v>1021</v>
      </c>
      <c r="B411" s="1" t="s">
        <v>368</v>
      </c>
      <c r="C411" s="1" t="s">
        <v>369</v>
      </c>
      <c r="D411" s="1" t="str">
        <f>+TagData[[#This Row],[TagName]]&amp;"_"&amp;TagData[[#This Row],[Description]]</f>
        <v>TIC37976_Temp Control Puri Cooler E37904.02B</v>
      </c>
      <c r="E411" cm="1">
        <f t="array" aca="1" ref="E411" ca="1">IF(ISNUMBER(SEARCH(INDIRECT(CELL("address")),TagData[[#This Row],[Combined]])),MAX($E$1:E410)+1,0)</f>
        <v>0</v>
      </c>
      <c r="F411" s="1" t="str">
        <f ca="1">IFERROR(INDEX(TagData[],MATCH(ROWS(F$1:$G410),TagData[Search],0),4),"")</f>
        <v/>
      </c>
    </row>
    <row r="412" spans="1:6" x14ac:dyDescent="0.3">
      <c r="A412">
        <v>1026</v>
      </c>
      <c r="B412" s="1" t="s">
        <v>370</v>
      </c>
      <c r="C412" s="1" t="s">
        <v>371</v>
      </c>
      <c r="D412" s="1" t="str">
        <f>+TagData[[#This Row],[TagName]]&amp;"_"&amp;TagData[[#This Row],[Description]]</f>
        <v>TI37977_Temp of Puri. Sep S37904.03B</v>
      </c>
      <c r="E412" cm="1">
        <f t="array" aca="1" ref="E412" ca="1">IF(ISNUMBER(SEARCH(INDIRECT(CELL("address")),TagData[[#This Row],[Combined]])),MAX($E$1:E411)+1,0)</f>
        <v>0</v>
      </c>
      <c r="F412" s="1" t="str">
        <f ca="1">IFERROR(INDEX(TagData[],MATCH(ROWS(F$1:$G411),TagData[Search],0),4),"")</f>
        <v/>
      </c>
    </row>
    <row r="413" spans="1:6" x14ac:dyDescent="0.3">
      <c r="A413">
        <v>1027</v>
      </c>
      <c r="B413" s="1" t="s">
        <v>368</v>
      </c>
      <c r="C413" s="1" t="s">
        <v>369</v>
      </c>
      <c r="D413" s="1" t="str">
        <f>+TagData[[#This Row],[TagName]]&amp;"_"&amp;TagData[[#This Row],[Description]]</f>
        <v>TIC37976_Temp Control Puri Cooler E37904.02B</v>
      </c>
      <c r="E413" cm="1">
        <f t="array" aca="1" ref="E413" ca="1">IF(ISNUMBER(SEARCH(INDIRECT(CELL("address")),TagData[[#This Row],[Combined]])),MAX($E$1:E412)+1,0)</f>
        <v>0</v>
      </c>
      <c r="F413" s="1" t="str">
        <f ca="1">IFERROR(INDEX(TagData[],MATCH(ROWS(F$1:$G412),TagData[Search],0),4),"")</f>
        <v/>
      </c>
    </row>
    <row r="414" spans="1:6" x14ac:dyDescent="0.3">
      <c r="A414">
        <v>1032</v>
      </c>
      <c r="B414" s="1" t="s">
        <v>370</v>
      </c>
      <c r="C414" s="1" t="s">
        <v>371</v>
      </c>
      <c r="D414" s="1" t="str">
        <f>+TagData[[#This Row],[TagName]]&amp;"_"&amp;TagData[[#This Row],[Description]]</f>
        <v>TI37977_Temp of Puri. Sep S37904.03B</v>
      </c>
      <c r="E414" cm="1">
        <f t="array" aca="1" ref="E414" ca="1">IF(ISNUMBER(SEARCH(INDIRECT(CELL("address")),TagData[[#This Row],[Combined]])),MAX($E$1:E413)+1,0)</f>
        <v>0</v>
      </c>
      <c r="F414" s="1" t="str">
        <f ca="1">IFERROR(INDEX(TagData[],MATCH(ROWS(F$1:$G413),TagData[Search],0),4),"")</f>
        <v/>
      </c>
    </row>
    <row r="415" spans="1:6" x14ac:dyDescent="0.3">
      <c r="A415">
        <v>1031</v>
      </c>
      <c r="B415" s="1" t="s">
        <v>368</v>
      </c>
      <c r="C415" s="1" t="s">
        <v>372</v>
      </c>
      <c r="D415" s="1" t="str">
        <f>+TagData[[#This Row],[TagName]]&amp;"_"&amp;TagData[[#This Row],[Description]]</f>
        <v>TIC37976_Temp of Puri. Cooler E37904.02B</v>
      </c>
      <c r="E415" cm="1">
        <f t="array" aca="1" ref="E415" ca="1">IF(ISNUMBER(SEARCH(INDIRECT(CELL("address")),TagData[[#This Row],[Combined]])),MAX($E$1:E414)+1,0)</f>
        <v>0</v>
      </c>
      <c r="F415" s="1" t="str">
        <f ca="1">IFERROR(INDEX(TagData[],MATCH(ROWS(F$1:$G414),TagData[Search],0),4),"")</f>
        <v/>
      </c>
    </row>
    <row r="416" spans="1:6" x14ac:dyDescent="0.3">
      <c r="A416">
        <v>1036</v>
      </c>
      <c r="B416" s="1" t="s">
        <v>373</v>
      </c>
      <c r="C416" s="1" t="s">
        <v>374</v>
      </c>
      <c r="D416" s="1" t="str">
        <f>+TagData[[#This Row],[TagName]]&amp;"_"&amp;TagData[[#This Row],[Description]]</f>
        <v>JI39526A_Current of TDI Effluent Pump P39526</v>
      </c>
      <c r="E416" cm="1">
        <f t="array" aca="1" ref="E416" ca="1">IF(ISNUMBER(SEARCH(INDIRECT(CELL("address")),TagData[[#This Row],[Combined]])),MAX($E$1:E415)+1,0)</f>
        <v>0</v>
      </c>
      <c r="F416" s="1" t="str">
        <f ca="1">IFERROR(INDEX(TagData[],MATCH(ROWS(F$1:$G415),TagData[Search],0),4),"")</f>
        <v/>
      </c>
    </row>
    <row r="417" spans="1:6" x14ac:dyDescent="0.3">
      <c r="A417">
        <v>1037</v>
      </c>
      <c r="B417" s="1" t="s">
        <v>368</v>
      </c>
      <c r="C417" s="1" t="s">
        <v>372</v>
      </c>
      <c r="D417" s="1" t="str">
        <f>+TagData[[#This Row],[TagName]]&amp;"_"&amp;TagData[[#This Row],[Description]]</f>
        <v>TIC37976_Temp of Puri. Cooler E37904.02B</v>
      </c>
      <c r="E417" cm="1">
        <f t="array" aca="1" ref="E417" ca="1">IF(ISNUMBER(SEARCH(INDIRECT(CELL("address")),TagData[[#This Row],[Combined]])),MAX($E$1:E416)+1,0)</f>
        <v>0</v>
      </c>
      <c r="F417" s="1" t="str">
        <f ca="1">IFERROR(INDEX(TagData[],MATCH(ROWS(F$1:$G416),TagData[Search],0),4),"")</f>
        <v/>
      </c>
    </row>
    <row r="418" spans="1:6" x14ac:dyDescent="0.3">
      <c r="A418">
        <v>1041</v>
      </c>
      <c r="B418" s="1" t="s">
        <v>375</v>
      </c>
      <c r="C418" s="1" t="s">
        <v>376</v>
      </c>
      <c r="D418" s="1" t="str">
        <f>+TagData[[#This Row],[TagName]]&amp;"_"&amp;TagData[[#This Row],[Description]]</f>
        <v>FI71212_Flow of SHP to TDI Plant</v>
      </c>
      <c r="E418" cm="1">
        <f t="array" aca="1" ref="E418" ca="1">IF(ISNUMBER(SEARCH(INDIRECT(CELL("address")),TagData[[#This Row],[Combined]])),MAX($E$1:E417)+1,0)</f>
        <v>0</v>
      </c>
      <c r="F418" s="1" t="str">
        <f ca="1">IFERROR(INDEX(TagData[],MATCH(ROWS(F$1:$G417),TagData[Search],0),4),"")</f>
        <v/>
      </c>
    </row>
    <row r="419" spans="1:6" x14ac:dyDescent="0.3">
      <c r="A419">
        <v>1042</v>
      </c>
      <c r="B419" s="1" t="s">
        <v>373</v>
      </c>
      <c r="C419" s="1" t="s">
        <v>374</v>
      </c>
      <c r="D419" s="1" t="str">
        <f>+TagData[[#This Row],[TagName]]&amp;"_"&amp;TagData[[#This Row],[Description]]</f>
        <v>JI39526A_Current of TDI Effluent Pump P39526</v>
      </c>
      <c r="E419" cm="1">
        <f t="array" aca="1" ref="E419" ca="1">IF(ISNUMBER(SEARCH(INDIRECT(CELL("address")),TagData[[#This Row],[Combined]])),MAX($E$1:E418)+1,0)</f>
        <v>0</v>
      </c>
      <c r="F419" s="1" t="str">
        <f ca="1">IFERROR(INDEX(TagData[],MATCH(ROWS(F$1:$G418),TagData[Search],0),4),"")</f>
        <v/>
      </c>
    </row>
    <row r="420" spans="1:6" x14ac:dyDescent="0.3">
      <c r="A420">
        <v>1047</v>
      </c>
      <c r="B420" s="1" t="s">
        <v>375</v>
      </c>
      <c r="C420" s="1" t="s">
        <v>376</v>
      </c>
      <c r="D420" s="1" t="str">
        <f>+TagData[[#This Row],[TagName]]&amp;"_"&amp;TagData[[#This Row],[Description]]</f>
        <v>FI71212_Flow of SHP to TDI Plant</v>
      </c>
      <c r="E420" cm="1">
        <f t="array" aca="1" ref="E420" ca="1">IF(ISNUMBER(SEARCH(INDIRECT(CELL("address")),TagData[[#This Row],[Combined]])),MAX($E$1:E419)+1,0)</f>
        <v>0</v>
      </c>
      <c r="F420" s="1" t="str">
        <f ca="1">IFERROR(INDEX(TagData[],MATCH(ROWS(F$1:$G419),TagData[Search],0),4),"")</f>
        <v/>
      </c>
    </row>
    <row r="421" spans="1:6" x14ac:dyDescent="0.3">
      <c r="A421">
        <v>1046</v>
      </c>
      <c r="B421" s="1" t="s">
        <v>377</v>
      </c>
      <c r="C421" s="1" t="s">
        <v>378</v>
      </c>
      <c r="D421" s="1" t="str">
        <f>+TagData[[#This Row],[TagName]]&amp;"_"&amp;TagData[[#This Row],[Description]]</f>
        <v>PI71210_Pressure of SHP to TDI Plant</v>
      </c>
      <c r="E421" cm="1">
        <f t="array" aca="1" ref="E421" ca="1">IF(ISNUMBER(SEARCH(INDIRECT(CELL("address")),TagData[[#This Row],[Combined]])),MAX($E$1:E420)+1,0)</f>
        <v>0</v>
      </c>
      <c r="F421" s="1" t="str">
        <f ca="1">IFERROR(INDEX(TagData[],MATCH(ROWS(F$1:$G420),TagData[Search],0),4),"")</f>
        <v/>
      </c>
    </row>
    <row r="422" spans="1:6" x14ac:dyDescent="0.3">
      <c r="A422">
        <v>1052</v>
      </c>
      <c r="B422" s="1" t="s">
        <v>377</v>
      </c>
      <c r="C422" s="1" t="s">
        <v>378</v>
      </c>
      <c r="D422" s="1" t="str">
        <f>+TagData[[#This Row],[TagName]]&amp;"_"&amp;TagData[[#This Row],[Description]]</f>
        <v>PI71210_Pressure of SHP to TDI Plant</v>
      </c>
      <c r="E422" cm="1">
        <f t="array" aca="1" ref="E422" ca="1">IF(ISNUMBER(SEARCH(INDIRECT(CELL("address")),TagData[[#This Row],[Combined]])),MAX($E$1:E421)+1,0)</f>
        <v>0</v>
      </c>
      <c r="F422" s="1" t="str">
        <f ca="1">IFERROR(INDEX(TagData[],MATCH(ROWS(F$1:$G421),TagData[Search],0),4),"")</f>
        <v/>
      </c>
    </row>
    <row r="423" spans="1:6" x14ac:dyDescent="0.3">
      <c r="A423">
        <v>1051</v>
      </c>
      <c r="B423" s="1" t="s">
        <v>379</v>
      </c>
      <c r="C423" s="1" t="s">
        <v>380</v>
      </c>
      <c r="D423" s="1" t="str">
        <f>+TagData[[#This Row],[TagName]]&amp;"_"&amp;TagData[[#This Row],[Description]]</f>
        <v>TI71211_Temp SHP on Line 712004</v>
      </c>
      <c r="E423" cm="1">
        <f t="array" aca="1" ref="E423" ca="1">IF(ISNUMBER(SEARCH(INDIRECT(CELL("address")),TagData[[#This Row],[Combined]])),MAX($E$1:E422)+1,0)</f>
        <v>0</v>
      </c>
      <c r="F423" s="1" t="str">
        <f ca="1">IFERROR(INDEX(TagData[],MATCH(ROWS(F$1:$G422),TagData[Search],0),4),"")</f>
        <v/>
      </c>
    </row>
    <row r="424" spans="1:6" x14ac:dyDescent="0.3">
      <c r="A424">
        <v>1056</v>
      </c>
      <c r="B424" s="1" t="s">
        <v>381</v>
      </c>
      <c r="C424" s="1" t="s">
        <v>382</v>
      </c>
      <c r="D424" s="1" t="str">
        <f>+TagData[[#This Row],[TagName]]&amp;"_"&amp;TagData[[#This Row],[Description]]</f>
        <v>FI71311_SMP Flow to BDG340 from X71302 PRDS</v>
      </c>
      <c r="E424" cm="1">
        <f t="array" aca="1" ref="E424" ca="1">IF(ISNUMBER(SEARCH(INDIRECT(CELL("address")),TagData[[#This Row],[Combined]])),MAX($E$1:E423)+1,0)</f>
        <v>0</v>
      </c>
      <c r="F424" s="1" t="str">
        <f ca="1">IFERROR(INDEX(TagData[],MATCH(ROWS(F$1:$G423),TagData[Search],0),4),"")</f>
        <v/>
      </c>
    </row>
    <row r="425" spans="1:6" x14ac:dyDescent="0.3">
      <c r="A425">
        <v>1057</v>
      </c>
      <c r="B425" s="1" t="s">
        <v>379</v>
      </c>
      <c r="C425" s="1" t="s">
        <v>380</v>
      </c>
      <c r="D425" s="1" t="str">
        <f>+TagData[[#This Row],[TagName]]&amp;"_"&amp;TagData[[#This Row],[Description]]</f>
        <v>TI71211_Temp SHP on Line 712004</v>
      </c>
      <c r="E425" cm="1">
        <f t="array" aca="1" ref="E425" ca="1">IF(ISNUMBER(SEARCH(INDIRECT(CELL("address")),TagData[[#This Row],[Combined]])),MAX($E$1:E424)+1,0)</f>
        <v>0</v>
      </c>
      <c r="F425" s="1" t="str">
        <f ca="1">IFERROR(INDEX(TagData[],MATCH(ROWS(F$1:$G424),TagData[Search],0),4),"")</f>
        <v/>
      </c>
    </row>
    <row r="426" spans="1:6" x14ac:dyDescent="0.3">
      <c r="A426">
        <v>1062</v>
      </c>
      <c r="B426" s="1" t="s">
        <v>381</v>
      </c>
      <c r="C426" s="1" t="s">
        <v>382</v>
      </c>
      <c r="D426" s="1" t="str">
        <f>+TagData[[#This Row],[TagName]]&amp;"_"&amp;TagData[[#This Row],[Description]]</f>
        <v>FI71311_SMP Flow to BDG340 from X71302 PRDS</v>
      </c>
      <c r="E426" cm="1">
        <f t="array" aca="1" ref="E426" ca="1">IF(ISNUMBER(SEARCH(INDIRECT(CELL("address")),TagData[[#This Row],[Combined]])),MAX($E$1:E425)+1,0)</f>
        <v>0</v>
      </c>
      <c r="F426" s="1" t="str">
        <f ca="1">IFERROR(INDEX(TagData[],MATCH(ROWS(F$1:$G425),TagData[Search],0),4),"")</f>
        <v/>
      </c>
    </row>
    <row r="427" spans="1:6" x14ac:dyDescent="0.3">
      <c r="A427">
        <v>1061</v>
      </c>
      <c r="B427" s="1" t="s">
        <v>383</v>
      </c>
      <c r="C427" s="1" t="s">
        <v>384</v>
      </c>
      <c r="D427" s="1" t="str">
        <f>+TagData[[#This Row],[TagName]]&amp;"_"&amp;TagData[[#This Row],[Description]]</f>
        <v>PI71309_SMP Press to BDG340 from X71302PRDS</v>
      </c>
      <c r="E427" cm="1">
        <f t="array" aca="1" ref="E427" ca="1">IF(ISNUMBER(SEARCH(INDIRECT(CELL("address")),TagData[[#This Row],[Combined]])),MAX($E$1:E426)+1,0)</f>
        <v>0</v>
      </c>
      <c r="F427" s="1" t="str">
        <f ca="1">IFERROR(INDEX(TagData[],MATCH(ROWS(F$1:$G426),TagData[Search],0),4),"")</f>
        <v/>
      </c>
    </row>
    <row r="428" spans="1:6" x14ac:dyDescent="0.3">
      <c r="A428">
        <v>1067</v>
      </c>
      <c r="B428" s="1" t="s">
        <v>383</v>
      </c>
      <c r="C428" s="1" t="s">
        <v>384</v>
      </c>
      <c r="D428" s="1" t="str">
        <f>+TagData[[#This Row],[TagName]]&amp;"_"&amp;TagData[[#This Row],[Description]]</f>
        <v>PI71309_SMP Press to BDG340 from X71302PRDS</v>
      </c>
      <c r="E428" cm="1">
        <f t="array" aca="1" ref="E428" ca="1">IF(ISNUMBER(SEARCH(INDIRECT(CELL("address")),TagData[[#This Row],[Combined]])),MAX($E$1:E427)+1,0)</f>
        <v>0</v>
      </c>
      <c r="F428" s="1" t="str">
        <f ca="1">IFERROR(INDEX(TagData[],MATCH(ROWS(F$1:$G427),TagData[Search],0),4),"")</f>
        <v/>
      </c>
    </row>
    <row r="429" spans="1:6" x14ac:dyDescent="0.3">
      <c r="A429">
        <v>1066</v>
      </c>
      <c r="B429" s="1" t="s">
        <v>385</v>
      </c>
      <c r="C429" s="1" t="s">
        <v>386</v>
      </c>
      <c r="D429" s="1" t="str">
        <f>+TagData[[#This Row],[TagName]]&amp;"_"&amp;TagData[[#This Row],[Description]]</f>
        <v>TI71310_SMP Temp to BDG340 from X71302 PRDS</v>
      </c>
      <c r="E429" cm="1">
        <f t="array" aca="1" ref="E429" ca="1">IF(ISNUMBER(SEARCH(INDIRECT(CELL("address")),TagData[[#This Row],[Combined]])),MAX($E$1:E428)+1,0)</f>
        <v>0</v>
      </c>
      <c r="F429" s="1" t="str">
        <f ca="1">IFERROR(INDEX(TagData[],MATCH(ROWS(F$1:$G428),TagData[Search],0),4),"")</f>
        <v/>
      </c>
    </row>
    <row r="430" spans="1:6" x14ac:dyDescent="0.3">
      <c r="A430">
        <v>1071</v>
      </c>
      <c r="B430" s="1" t="s">
        <v>387</v>
      </c>
      <c r="C430" s="1" t="s">
        <v>388</v>
      </c>
      <c r="D430" s="1" t="str">
        <f>+TagData[[#This Row],[TagName]]&amp;"_"&amp;TagData[[#This Row],[Description]]</f>
        <v>FI71423_SLP flow to BDG340 TDI Plant</v>
      </c>
      <c r="E430" cm="1">
        <f t="array" aca="1" ref="E430" ca="1">IF(ISNUMBER(SEARCH(INDIRECT(CELL("address")),TagData[[#This Row],[Combined]])),MAX($E$1:E429)+1,0)</f>
        <v>0</v>
      </c>
      <c r="F430" s="1" t="str">
        <f ca="1">IFERROR(INDEX(TagData[],MATCH(ROWS(F$1:$G429),TagData[Search],0),4),"")</f>
        <v/>
      </c>
    </row>
    <row r="431" spans="1:6" x14ac:dyDescent="0.3">
      <c r="A431">
        <v>1072</v>
      </c>
      <c r="B431" s="1" t="s">
        <v>385</v>
      </c>
      <c r="C431" s="1" t="s">
        <v>386</v>
      </c>
      <c r="D431" s="1" t="str">
        <f>+TagData[[#This Row],[TagName]]&amp;"_"&amp;TagData[[#This Row],[Description]]</f>
        <v>TI71310_SMP Temp to BDG340 from X71302 PRDS</v>
      </c>
      <c r="E431" cm="1">
        <f t="array" aca="1" ref="E431" ca="1">IF(ISNUMBER(SEARCH(INDIRECT(CELL("address")),TagData[[#This Row],[Combined]])),MAX($E$1:E430)+1,0)</f>
        <v>0</v>
      </c>
      <c r="F431" s="1" t="str">
        <f ca="1">IFERROR(INDEX(TagData[],MATCH(ROWS(F$1:$G430),TagData[Search],0),4),"")</f>
        <v/>
      </c>
    </row>
    <row r="432" spans="1:6" x14ac:dyDescent="0.3">
      <c r="A432">
        <v>1077</v>
      </c>
      <c r="B432" s="1" t="s">
        <v>387</v>
      </c>
      <c r="C432" s="1" t="s">
        <v>388</v>
      </c>
      <c r="D432" s="1" t="str">
        <f>+TagData[[#This Row],[TagName]]&amp;"_"&amp;TagData[[#This Row],[Description]]</f>
        <v>FI71423_SLP flow to BDG340 TDI Plant</v>
      </c>
      <c r="E432" cm="1">
        <f t="array" aca="1" ref="E432" ca="1">IF(ISNUMBER(SEARCH(INDIRECT(CELL("address")),TagData[[#This Row],[Combined]])),MAX($E$1:E431)+1,0)</f>
        <v>0</v>
      </c>
      <c r="F432" s="1" t="str">
        <f ca="1">IFERROR(INDEX(TagData[],MATCH(ROWS(F$1:$G431),TagData[Search],0),4),"")</f>
        <v/>
      </c>
    </row>
    <row r="433" spans="1:6" x14ac:dyDescent="0.3">
      <c r="A433">
        <v>1076</v>
      </c>
      <c r="B433" s="1" t="s">
        <v>389</v>
      </c>
      <c r="C433" s="1" t="s">
        <v>390</v>
      </c>
      <c r="D433" s="1" t="str">
        <f>+TagData[[#This Row],[TagName]]&amp;"_"&amp;TagData[[#This Row],[Description]]</f>
        <v>PI71421_SLP Press to BDG340 TDI Plant</v>
      </c>
      <c r="E433" cm="1">
        <f t="array" aca="1" ref="E433" ca="1">IF(ISNUMBER(SEARCH(INDIRECT(CELL("address")),TagData[[#This Row],[Combined]])),MAX($E$1:E432)+1,0)</f>
        <v>0</v>
      </c>
      <c r="F433" s="1" t="str">
        <f ca="1">IFERROR(INDEX(TagData[],MATCH(ROWS(F$1:$G432),TagData[Search],0),4),"")</f>
        <v/>
      </c>
    </row>
    <row r="434" spans="1:6" x14ac:dyDescent="0.3">
      <c r="A434">
        <v>1081</v>
      </c>
      <c r="B434" s="1" t="s">
        <v>391</v>
      </c>
      <c r="C434" s="1" t="s">
        <v>392</v>
      </c>
      <c r="D434" s="1" t="str">
        <f>+TagData[[#This Row],[TagName]]&amp;"_"&amp;TagData[[#This Row],[Description]]</f>
        <v>FI71420_SLP flow to BDG350 Phosgene Plant</v>
      </c>
      <c r="E434" cm="1">
        <f t="array" aca="1" ref="E434" ca="1">IF(ISNUMBER(SEARCH(INDIRECT(CELL("address")),TagData[[#This Row],[Combined]])),MAX($E$1:E433)+1,0)</f>
        <v>0</v>
      </c>
      <c r="F434" s="1" t="str">
        <f ca="1">IFERROR(INDEX(TagData[],MATCH(ROWS(F$1:$G433),TagData[Search],0),4),"")</f>
        <v/>
      </c>
    </row>
    <row r="435" spans="1:6" x14ac:dyDescent="0.3">
      <c r="A435">
        <v>1082</v>
      </c>
      <c r="B435" s="1" t="s">
        <v>389</v>
      </c>
      <c r="C435" s="1" t="s">
        <v>390</v>
      </c>
      <c r="D435" s="1" t="str">
        <f>+TagData[[#This Row],[TagName]]&amp;"_"&amp;TagData[[#This Row],[Description]]</f>
        <v>PI71421_SLP Press to BDG340 TDI Plant</v>
      </c>
      <c r="E435" cm="1">
        <f t="array" aca="1" ref="E435" ca="1">IF(ISNUMBER(SEARCH(INDIRECT(CELL("address")),TagData[[#This Row],[Combined]])),MAX($E$1:E434)+1,0)</f>
        <v>0</v>
      </c>
      <c r="F435" s="1" t="str">
        <f ca="1">IFERROR(INDEX(TagData[],MATCH(ROWS(F$1:$G434),TagData[Search],0),4),"")</f>
        <v/>
      </c>
    </row>
    <row r="436" spans="1:6" x14ac:dyDescent="0.3">
      <c r="A436">
        <v>1087</v>
      </c>
      <c r="B436" s="1" t="s">
        <v>391</v>
      </c>
      <c r="C436" s="1" t="s">
        <v>392</v>
      </c>
      <c r="D436" s="1" t="str">
        <f>+TagData[[#This Row],[TagName]]&amp;"_"&amp;TagData[[#This Row],[Description]]</f>
        <v>FI71420_SLP flow to BDG350 Phosgene Plant</v>
      </c>
      <c r="E436" cm="1">
        <f t="array" aca="1" ref="E436" ca="1">IF(ISNUMBER(SEARCH(INDIRECT(CELL("address")),TagData[[#This Row],[Combined]])),MAX($E$1:E435)+1,0)</f>
        <v>0</v>
      </c>
      <c r="F436" s="1" t="str">
        <f ca="1">IFERROR(INDEX(TagData[],MATCH(ROWS(F$1:$G435),TagData[Search],0),4),"")</f>
        <v/>
      </c>
    </row>
    <row r="437" spans="1:6" x14ac:dyDescent="0.3">
      <c r="A437">
        <v>1086</v>
      </c>
      <c r="B437" s="1" t="s">
        <v>393</v>
      </c>
      <c r="C437" s="1" t="s">
        <v>394</v>
      </c>
      <c r="D437" s="1" t="str">
        <f>+TagData[[#This Row],[TagName]]&amp;"_"&amp;TagData[[#This Row],[Description]]</f>
        <v>PI71418_SLP Press to BDG350 Phosgene Plant</v>
      </c>
      <c r="E437" cm="1">
        <f t="array" aca="1" ref="E437" ca="1">IF(ISNUMBER(SEARCH(INDIRECT(CELL("address")),TagData[[#This Row],[Combined]])),MAX($E$1:E436)+1,0)</f>
        <v>0</v>
      </c>
      <c r="F437" s="1" t="str">
        <f ca="1">IFERROR(INDEX(TagData[],MATCH(ROWS(F$1:$G436),TagData[Search],0),4),"")</f>
        <v/>
      </c>
    </row>
    <row r="438" spans="1:6" x14ac:dyDescent="0.3">
      <c r="A438">
        <v>1092</v>
      </c>
      <c r="B438" s="1" t="s">
        <v>393</v>
      </c>
      <c r="C438" s="1" t="s">
        <v>394</v>
      </c>
      <c r="D438" s="1" t="str">
        <f>+TagData[[#This Row],[TagName]]&amp;"_"&amp;TagData[[#This Row],[Description]]</f>
        <v>PI71418_SLP Press to BDG350 Phosgene Plant</v>
      </c>
      <c r="E438" cm="1">
        <f t="array" aca="1" ref="E438" ca="1">IF(ISNUMBER(SEARCH(INDIRECT(CELL("address")),TagData[[#This Row],[Combined]])),MAX($E$1:E437)+1,0)</f>
        <v>0</v>
      </c>
      <c r="F438" s="1" t="str">
        <f ca="1">IFERROR(INDEX(TagData[],MATCH(ROWS(F$1:$G437),TagData[Search],0),4),"")</f>
        <v/>
      </c>
    </row>
    <row r="439" spans="1:6" x14ac:dyDescent="0.3">
      <c r="A439">
        <v>1091</v>
      </c>
      <c r="B439" s="1" t="s">
        <v>395</v>
      </c>
      <c r="C439" s="1" t="s">
        <v>396</v>
      </c>
      <c r="D439" s="1" t="str">
        <f>+TagData[[#This Row],[TagName]]&amp;"_"&amp;TagData[[#This Row],[Description]]</f>
        <v>TI71419_SLP Temp to BDG350 Phosgene Plant</v>
      </c>
      <c r="E439" cm="1">
        <f t="array" aca="1" ref="E439" ca="1">IF(ISNUMBER(SEARCH(INDIRECT(CELL("address")),TagData[[#This Row],[Combined]])),MAX($E$1:E438)+1,0)</f>
        <v>0</v>
      </c>
      <c r="F439" s="1" t="str">
        <f ca="1">IFERROR(INDEX(TagData[],MATCH(ROWS(F$1:$G438),TagData[Search],0),4),"")</f>
        <v/>
      </c>
    </row>
    <row r="440" spans="1:6" x14ac:dyDescent="0.3">
      <c r="A440">
        <v>1096</v>
      </c>
      <c r="B440" s="1" t="s">
        <v>397</v>
      </c>
      <c r="C440" s="1" t="s">
        <v>398</v>
      </c>
      <c r="D440" s="1" t="str">
        <f>+TagData[[#This Row],[TagName]]&amp;"_"&amp;TagData[[#This Row],[Description]]</f>
        <v>AI72454_CWR cond. analyzer to CT frm BDG340</v>
      </c>
      <c r="E440" cm="1">
        <f t="array" aca="1" ref="E440" ca="1">IF(ISNUMBER(SEARCH(INDIRECT(CELL("address")),TagData[[#This Row],[Combined]])),MAX($E$1:E439)+1,0)</f>
        <v>0</v>
      </c>
      <c r="F440" s="1" t="str">
        <f ca="1">IFERROR(INDEX(TagData[],MATCH(ROWS(F$1:$G439),TagData[Search],0),4),"")</f>
        <v/>
      </c>
    </row>
    <row r="441" spans="1:6" x14ac:dyDescent="0.3">
      <c r="A441">
        <v>1097</v>
      </c>
      <c r="B441" s="1" t="s">
        <v>395</v>
      </c>
      <c r="C441" s="1" t="s">
        <v>396</v>
      </c>
      <c r="D441" s="1" t="str">
        <f>+TagData[[#This Row],[TagName]]&amp;"_"&amp;TagData[[#This Row],[Description]]</f>
        <v>TI71419_SLP Temp to BDG350 Phosgene Plant</v>
      </c>
      <c r="E441" cm="1">
        <f t="array" aca="1" ref="E441" ca="1">IF(ISNUMBER(SEARCH(INDIRECT(CELL("address")),TagData[[#This Row],[Combined]])),MAX($E$1:E440)+1,0)</f>
        <v>0</v>
      </c>
      <c r="F441" s="1" t="str">
        <f ca="1">IFERROR(INDEX(TagData[],MATCH(ROWS(F$1:$G440),TagData[Search],0),4),"")</f>
        <v/>
      </c>
    </row>
    <row r="442" spans="1:6" x14ac:dyDescent="0.3">
      <c r="A442">
        <v>1102</v>
      </c>
      <c r="B442" s="1" t="s">
        <v>397</v>
      </c>
      <c r="C442" s="1" t="s">
        <v>398</v>
      </c>
      <c r="D442" s="1" t="str">
        <f>+TagData[[#This Row],[TagName]]&amp;"_"&amp;TagData[[#This Row],[Description]]</f>
        <v>AI72454_CWR cond. analyzer to CT frm BDG340</v>
      </c>
      <c r="E442" cm="1">
        <f t="array" aca="1" ref="E442" ca="1">IF(ISNUMBER(SEARCH(INDIRECT(CELL("address")),TagData[[#This Row],[Combined]])),MAX($E$1:E441)+1,0)</f>
        <v>0</v>
      </c>
      <c r="F442" s="1" t="str">
        <f ca="1">IFERROR(INDEX(TagData[],MATCH(ROWS(F$1:$G441),TagData[Search],0),4),"")</f>
        <v/>
      </c>
    </row>
    <row r="443" spans="1:6" x14ac:dyDescent="0.3">
      <c r="A443">
        <v>1101</v>
      </c>
      <c r="B443" s="1" t="s">
        <v>399</v>
      </c>
      <c r="C443" s="1" t="s">
        <v>400</v>
      </c>
      <c r="D443" s="1" t="str">
        <f>+TagData[[#This Row],[TagName]]&amp;"_"&amp;TagData[[#This Row],[Description]]</f>
        <v>FI72429_CWS flow to BDG350 Phosgene plant</v>
      </c>
      <c r="E443" cm="1">
        <f t="array" aca="1" ref="E443" ca="1">IF(ISNUMBER(SEARCH(INDIRECT(CELL("address")),TagData[[#This Row],[Combined]])),MAX($E$1:E442)+1,0)</f>
        <v>0</v>
      </c>
      <c r="F443" s="1" t="str">
        <f ca="1">IFERROR(INDEX(TagData[],MATCH(ROWS(F$1:$G442),TagData[Search],0),4),"")</f>
        <v/>
      </c>
    </row>
    <row r="444" spans="1:6" x14ac:dyDescent="0.3">
      <c r="A444">
        <v>1107</v>
      </c>
      <c r="B444" s="1" t="s">
        <v>399</v>
      </c>
      <c r="C444" s="1" t="s">
        <v>400</v>
      </c>
      <c r="D444" s="1" t="str">
        <f>+TagData[[#This Row],[TagName]]&amp;"_"&amp;TagData[[#This Row],[Description]]</f>
        <v>FI72429_CWS flow to BDG350 Phosgene plant</v>
      </c>
      <c r="E444" cm="1">
        <f t="array" aca="1" ref="E444" ca="1">IF(ISNUMBER(SEARCH(INDIRECT(CELL("address")),TagData[[#This Row],[Combined]])),MAX($E$1:E443)+1,0)</f>
        <v>0</v>
      </c>
      <c r="F444" s="1" t="str">
        <f ca="1">IFERROR(INDEX(TagData[],MATCH(ROWS(F$1:$G443),TagData[Search],0),4),"")</f>
        <v/>
      </c>
    </row>
    <row r="445" spans="1:6" x14ac:dyDescent="0.3">
      <c r="A445">
        <v>1106</v>
      </c>
      <c r="B445" s="1" t="s">
        <v>401</v>
      </c>
      <c r="C445" s="1" t="s">
        <v>402</v>
      </c>
      <c r="D445" s="1" t="str">
        <f>+TagData[[#This Row],[TagName]]&amp;"_"&amp;TagData[[#This Row],[Description]]</f>
        <v>PI72427_CWS Press to BDG350 Phosgene plant</v>
      </c>
      <c r="E445" cm="1">
        <f t="array" aca="1" ref="E445" ca="1">IF(ISNUMBER(SEARCH(INDIRECT(CELL("address")),TagData[[#This Row],[Combined]])),MAX($E$1:E444)+1,0)</f>
        <v>0</v>
      </c>
      <c r="F445" s="1" t="str">
        <f ca="1">IFERROR(INDEX(TagData[],MATCH(ROWS(F$1:$G444),TagData[Search],0),4),"")</f>
        <v/>
      </c>
    </row>
    <row r="446" spans="1:6" x14ac:dyDescent="0.3">
      <c r="A446">
        <v>1112</v>
      </c>
      <c r="B446" s="1" t="s">
        <v>401</v>
      </c>
      <c r="C446" s="1" t="s">
        <v>402</v>
      </c>
      <c r="D446" s="1" t="str">
        <f>+TagData[[#This Row],[TagName]]&amp;"_"&amp;TagData[[#This Row],[Description]]</f>
        <v>PI72427_CWS Press to BDG350 Phosgene plant</v>
      </c>
      <c r="E446" cm="1">
        <f t="array" aca="1" ref="E446" ca="1">IF(ISNUMBER(SEARCH(INDIRECT(CELL("address")),TagData[[#This Row],[Combined]])),MAX($E$1:E445)+1,0)</f>
        <v>0</v>
      </c>
      <c r="F446" s="1" t="str">
        <f ca="1">IFERROR(INDEX(TagData[],MATCH(ROWS(F$1:$G445),TagData[Search],0),4),"")</f>
        <v/>
      </c>
    </row>
    <row r="447" spans="1:6" x14ac:dyDescent="0.3">
      <c r="A447">
        <v>1111</v>
      </c>
      <c r="B447" s="1" t="s">
        <v>403</v>
      </c>
      <c r="C447" s="1" t="s">
        <v>404</v>
      </c>
      <c r="D447" s="1" t="str">
        <f>+TagData[[#This Row],[TagName]]&amp;"_"&amp;TagData[[#This Row],[Description]]</f>
        <v>TI72428_CWS Temp to BDG350 Phosgene plant</v>
      </c>
      <c r="E447" cm="1">
        <f t="array" aca="1" ref="E447" ca="1">IF(ISNUMBER(SEARCH(INDIRECT(CELL("address")),TagData[[#This Row],[Combined]])),MAX($E$1:E446)+1,0)</f>
        <v>0</v>
      </c>
      <c r="F447" s="1" t="str">
        <f ca="1">IFERROR(INDEX(TagData[],MATCH(ROWS(F$1:$G446),TagData[Search],0),4),"")</f>
        <v/>
      </c>
    </row>
    <row r="448" spans="1:6" x14ac:dyDescent="0.3">
      <c r="A448">
        <v>1116</v>
      </c>
      <c r="B448" s="1" t="s">
        <v>405</v>
      </c>
      <c r="C448" s="1" t="s">
        <v>406</v>
      </c>
      <c r="D448" s="1" t="str">
        <f>+TagData[[#This Row],[TagName]]&amp;"_"&amp;TagData[[#This Row],[Description]]</f>
        <v>FI74110_NHPFlow to BDG340 TDI Plant</v>
      </c>
      <c r="E448" cm="1">
        <f t="array" aca="1" ref="E448" ca="1">IF(ISNUMBER(SEARCH(INDIRECT(CELL("address")),TagData[[#This Row],[Combined]])),MAX($E$1:E447)+1,0)</f>
        <v>0</v>
      </c>
      <c r="F448" s="1" t="str">
        <f ca="1">IFERROR(INDEX(TagData[],MATCH(ROWS(F$1:$G447),TagData[Search],0),4),"")</f>
        <v/>
      </c>
    </row>
    <row r="449" spans="1:6" x14ac:dyDescent="0.3">
      <c r="A449">
        <v>1117</v>
      </c>
      <c r="B449" s="1" t="s">
        <v>403</v>
      </c>
      <c r="C449" s="1" t="s">
        <v>404</v>
      </c>
      <c r="D449" s="1" t="str">
        <f>+TagData[[#This Row],[TagName]]&amp;"_"&amp;TagData[[#This Row],[Description]]</f>
        <v>TI72428_CWS Temp to BDG350 Phosgene plant</v>
      </c>
      <c r="E449" cm="1">
        <f t="array" aca="1" ref="E449" ca="1">IF(ISNUMBER(SEARCH(INDIRECT(CELL("address")),TagData[[#This Row],[Combined]])),MAX($E$1:E448)+1,0)</f>
        <v>0</v>
      </c>
      <c r="F449" s="1" t="str">
        <f ca="1">IFERROR(INDEX(TagData[],MATCH(ROWS(F$1:$G448),TagData[Search],0),4),"")</f>
        <v/>
      </c>
    </row>
    <row r="450" spans="1:6" x14ac:dyDescent="0.3">
      <c r="A450">
        <v>1122</v>
      </c>
      <c r="B450" s="1" t="s">
        <v>405</v>
      </c>
      <c r="C450" s="1" t="s">
        <v>406</v>
      </c>
      <c r="D450" s="1" t="str">
        <f>+TagData[[#This Row],[TagName]]&amp;"_"&amp;TagData[[#This Row],[Description]]</f>
        <v>FI74110_NHPFlow to BDG340 TDI Plant</v>
      </c>
      <c r="E450" cm="1">
        <f t="array" aca="1" ref="E450" ca="1">IF(ISNUMBER(SEARCH(INDIRECT(CELL("address")),TagData[[#This Row],[Combined]])),MAX($E$1:E449)+1,0)</f>
        <v>0</v>
      </c>
      <c r="F450" s="1" t="str">
        <f ca="1">IFERROR(INDEX(TagData[],MATCH(ROWS(F$1:$G449),TagData[Search],0),4),"")</f>
        <v/>
      </c>
    </row>
    <row r="451" spans="1:6" x14ac:dyDescent="0.3">
      <c r="A451">
        <v>1118</v>
      </c>
      <c r="B451" s="1" t="s">
        <v>407</v>
      </c>
      <c r="C451" s="1" t="s">
        <v>408</v>
      </c>
      <c r="D451" s="1" t="str">
        <f>+TagData[[#This Row],[TagName]]&amp;"_"&amp;TagData[[#This Row],[Description]]</f>
        <v>PI74101_NHP Press to BDG340 TDI Plant</v>
      </c>
      <c r="E451" cm="1">
        <f t="array" aca="1" ref="E451" ca="1">IF(ISNUMBER(SEARCH(INDIRECT(CELL("address")),TagData[[#This Row],[Combined]])),MAX($E$1:E450)+1,0)</f>
        <v>0</v>
      </c>
      <c r="F451" s="1" t="str">
        <f ca="1">IFERROR(INDEX(TagData[],MATCH(ROWS(F$1:$G450),TagData[Search],0),4),"")</f>
        <v/>
      </c>
    </row>
    <row r="452" spans="1:6" x14ac:dyDescent="0.3">
      <c r="A452">
        <v>1127</v>
      </c>
      <c r="B452" s="1" t="s">
        <v>407</v>
      </c>
      <c r="C452" s="1" t="s">
        <v>408</v>
      </c>
      <c r="D452" s="1" t="str">
        <f>+TagData[[#This Row],[TagName]]&amp;"_"&amp;TagData[[#This Row],[Description]]</f>
        <v>PI74101_NHP Press to BDG340 TDI Plant</v>
      </c>
      <c r="E452" cm="1">
        <f t="array" aca="1" ref="E452" ca="1">IF(ISNUMBER(SEARCH(INDIRECT(CELL("address")),TagData[[#This Row],[Combined]])),MAX($E$1:E451)+1,0)</f>
        <v>0</v>
      </c>
      <c r="F452" s="1" t="str">
        <f ca="1">IFERROR(INDEX(TagData[],MATCH(ROWS(F$1:$G451),TagData[Search],0),4),"")</f>
        <v/>
      </c>
    </row>
    <row r="453" spans="1:6" x14ac:dyDescent="0.3">
      <c r="A453">
        <v>1126</v>
      </c>
      <c r="B453" s="1" t="s">
        <v>409</v>
      </c>
      <c r="C453" s="1" t="s">
        <v>410</v>
      </c>
      <c r="D453" s="1" t="str">
        <f>+TagData[[#This Row],[TagName]]&amp;"_"&amp;TagData[[#This Row],[Description]]</f>
        <v>PIC74103_NHP to NMP Press</v>
      </c>
      <c r="E453" cm="1">
        <f t="array" aca="1" ref="E453" ca="1">IF(ISNUMBER(SEARCH(INDIRECT(CELL("address")),TagData[[#This Row],[Combined]])),MAX($E$1:E452)+1,0)</f>
        <v>0</v>
      </c>
      <c r="F453" s="1" t="str">
        <f ca="1">IFERROR(INDEX(TagData[],MATCH(ROWS(F$1:$G452),TagData[Search],0),4),"")</f>
        <v/>
      </c>
    </row>
    <row r="454" spans="1:6" x14ac:dyDescent="0.3">
      <c r="A454">
        <v>1132</v>
      </c>
      <c r="B454" s="1" t="s">
        <v>409</v>
      </c>
      <c r="C454" s="1" t="s">
        <v>410</v>
      </c>
      <c r="D454" s="1" t="str">
        <f>+TagData[[#This Row],[TagName]]&amp;"_"&amp;TagData[[#This Row],[Description]]</f>
        <v>PIC74103_NHP to NMP Press</v>
      </c>
      <c r="E454" cm="1">
        <f t="array" aca="1" ref="E454" ca="1">IF(ISNUMBER(SEARCH(INDIRECT(CELL("address")),TagData[[#This Row],[Combined]])),MAX($E$1:E453)+1,0)</f>
        <v>0</v>
      </c>
      <c r="F454" s="1" t="str">
        <f ca="1">IFERROR(INDEX(TagData[],MATCH(ROWS(F$1:$G453),TagData[Search],0),4),"")</f>
        <v/>
      </c>
    </row>
    <row r="455" spans="1:6" x14ac:dyDescent="0.3">
      <c r="A455">
        <v>1131</v>
      </c>
      <c r="B455" s="1" t="s">
        <v>409</v>
      </c>
      <c r="C455" s="1" t="s">
        <v>411</v>
      </c>
      <c r="D455" s="1" t="str">
        <f>+TagData[[#This Row],[TagName]]&amp;"_"&amp;TagData[[#This Row],[Description]]</f>
        <v xml:space="preserve">PIC74103_NHP to NMP Press c/v </v>
      </c>
      <c r="E455" cm="1">
        <f t="array" aca="1" ref="E455" ca="1">IF(ISNUMBER(SEARCH(INDIRECT(CELL("address")),TagData[[#This Row],[Combined]])),MAX($E$1:E454)+1,0)</f>
        <v>0</v>
      </c>
      <c r="F455" s="1" t="str">
        <f ca="1">IFERROR(INDEX(TagData[],MATCH(ROWS(F$1:$G454),TagData[Search],0),4),"")</f>
        <v/>
      </c>
    </row>
    <row r="456" spans="1:6" x14ac:dyDescent="0.3">
      <c r="A456">
        <v>1136</v>
      </c>
      <c r="B456" s="1" t="s">
        <v>412</v>
      </c>
      <c r="C456" s="1" t="s">
        <v>413</v>
      </c>
      <c r="D456" s="1" t="str">
        <f>+TagData[[#This Row],[TagName]]&amp;"_"&amp;TagData[[#This Row],[Description]]</f>
        <v>FI75073_Flow of WCHS T75005 to TDI Plant</v>
      </c>
      <c r="E456" cm="1">
        <f t="array" aca="1" ref="E456" ca="1">IF(ISNUMBER(SEARCH(INDIRECT(CELL("address")),TagData[[#This Row],[Combined]])),MAX($E$1:E455)+1,0)</f>
        <v>0</v>
      </c>
      <c r="F456" s="1" t="str">
        <f ca="1">IFERROR(INDEX(TagData[],MATCH(ROWS(F$1:$G455),TagData[Search],0),4),"")</f>
        <v/>
      </c>
    </row>
    <row r="457" spans="1:6" x14ac:dyDescent="0.3">
      <c r="A457">
        <v>1137</v>
      </c>
      <c r="B457" s="1" t="s">
        <v>409</v>
      </c>
      <c r="C457" s="1" t="s">
        <v>411</v>
      </c>
      <c r="D457" s="1" t="str">
        <f>+TagData[[#This Row],[TagName]]&amp;"_"&amp;TagData[[#This Row],[Description]]</f>
        <v xml:space="preserve">PIC74103_NHP to NMP Press c/v </v>
      </c>
      <c r="E457" cm="1">
        <f t="array" aca="1" ref="E457" ca="1">IF(ISNUMBER(SEARCH(INDIRECT(CELL("address")),TagData[[#This Row],[Combined]])),MAX($E$1:E456)+1,0)</f>
        <v>0</v>
      </c>
      <c r="F457" s="1" t="str">
        <f ca="1">IFERROR(INDEX(TagData[],MATCH(ROWS(F$1:$G456),TagData[Search],0),4),"")</f>
        <v/>
      </c>
    </row>
    <row r="458" spans="1:6" x14ac:dyDescent="0.3">
      <c r="A458">
        <v>1142</v>
      </c>
      <c r="B458" s="1" t="s">
        <v>412</v>
      </c>
      <c r="C458" s="1" t="s">
        <v>413</v>
      </c>
      <c r="D458" s="1" t="str">
        <f>+TagData[[#This Row],[TagName]]&amp;"_"&amp;TagData[[#This Row],[Description]]</f>
        <v>FI75073_Flow of WCHS T75005 to TDI Plant</v>
      </c>
      <c r="E458" cm="1">
        <f t="array" aca="1" ref="E458" ca="1">IF(ISNUMBER(SEARCH(INDIRECT(CELL("address")),TagData[[#This Row],[Combined]])),MAX($E$1:E457)+1,0)</f>
        <v>0</v>
      </c>
      <c r="F458" s="1" t="str">
        <f ca="1">IFERROR(INDEX(TagData[],MATCH(ROWS(F$1:$G457),TagData[Search],0),4),"")</f>
        <v/>
      </c>
    </row>
    <row r="459" spans="1:6" x14ac:dyDescent="0.3">
      <c r="A459">
        <v>1141</v>
      </c>
      <c r="B459" s="1" t="s">
        <v>414</v>
      </c>
      <c r="C459" s="1" t="s">
        <v>415</v>
      </c>
      <c r="D459" s="1" t="str">
        <f>+TagData[[#This Row],[TagName]]&amp;"_"&amp;TagData[[#This Row],[Description]]</f>
        <v>PI75071_Pressure of WCHS T75005to TDI Plant</v>
      </c>
      <c r="E459" cm="1">
        <f t="array" aca="1" ref="E459" ca="1">IF(ISNUMBER(SEARCH(INDIRECT(CELL("address")),TagData[[#This Row],[Combined]])),MAX($E$1:E458)+1,0)</f>
        <v>0</v>
      </c>
      <c r="F459" s="1" t="str">
        <f ca="1">IFERROR(INDEX(TagData[],MATCH(ROWS(F$1:$G458),TagData[Search],0),4),"")</f>
        <v/>
      </c>
    </row>
    <row r="460" spans="1:6" x14ac:dyDescent="0.3">
      <c r="A460">
        <v>1146</v>
      </c>
      <c r="B460" s="1" t="s">
        <v>416</v>
      </c>
      <c r="C460" s="1" t="s">
        <v>417</v>
      </c>
      <c r="D460" s="1" t="str">
        <f>+TagData[[#This Row],[TagName]]&amp;"_"&amp;TagData[[#This Row],[Description]]</f>
        <v>AI75069_Conductivity of WCHR to T75002</v>
      </c>
      <c r="E460" cm="1">
        <f t="array" aca="1" ref="E460" ca="1">IF(ISNUMBER(SEARCH(INDIRECT(CELL("address")),TagData[[#This Row],[Combined]])),MAX($E$1:E459)+1,0)</f>
        <v>0</v>
      </c>
      <c r="F460" s="1" t="str">
        <f ca="1">IFERROR(INDEX(TagData[],MATCH(ROWS(F$1:$G459),TagData[Search],0),4),"")</f>
        <v/>
      </c>
    </row>
    <row r="461" spans="1:6" x14ac:dyDescent="0.3">
      <c r="A461">
        <v>1147</v>
      </c>
      <c r="B461" s="1" t="s">
        <v>414</v>
      </c>
      <c r="C461" s="1" t="s">
        <v>415</v>
      </c>
      <c r="D461" s="1" t="str">
        <f>+TagData[[#This Row],[TagName]]&amp;"_"&amp;TagData[[#This Row],[Description]]</f>
        <v>PI75071_Pressure of WCHS T75005to TDI Plant</v>
      </c>
      <c r="E461" cm="1">
        <f t="array" aca="1" ref="E461" ca="1">IF(ISNUMBER(SEARCH(INDIRECT(CELL("address")),TagData[[#This Row],[Combined]])),MAX($E$1:E460)+1,0)</f>
        <v>0</v>
      </c>
      <c r="F461" s="1" t="str">
        <f ca="1">IFERROR(INDEX(TagData[],MATCH(ROWS(F$1:$G460),TagData[Search],0),4),"")</f>
        <v/>
      </c>
    </row>
    <row r="462" spans="1:6" x14ac:dyDescent="0.3">
      <c r="A462">
        <v>1152</v>
      </c>
      <c r="B462" s="1" t="s">
        <v>416</v>
      </c>
      <c r="C462" s="1" t="s">
        <v>417</v>
      </c>
      <c r="D462" s="1" t="str">
        <f>+TagData[[#This Row],[TagName]]&amp;"_"&amp;TagData[[#This Row],[Description]]</f>
        <v>AI75069_Conductivity of WCHR to T75002</v>
      </c>
      <c r="E462" cm="1">
        <f t="array" aca="1" ref="E462" ca="1">IF(ISNUMBER(SEARCH(INDIRECT(CELL("address")),TagData[[#This Row],[Combined]])),MAX($E$1:E461)+1,0)</f>
        <v>0</v>
      </c>
      <c r="F462" s="1" t="str">
        <f ca="1">IFERROR(INDEX(TagData[],MATCH(ROWS(F$1:$G461),TagData[Search],0),4),"")</f>
        <v/>
      </c>
    </row>
    <row r="463" spans="1:6" x14ac:dyDescent="0.3">
      <c r="A463">
        <v>1151</v>
      </c>
      <c r="B463" s="1" t="s">
        <v>418</v>
      </c>
      <c r="C463" s="1" t="s">
        <v>419</v>
      </c>
      <c r="D463" s="1" t="str">
        <f>+TagData[[#This Row],[TagName]]&amp;"_"&amp;TagData[[#This Row],[Description]]</f>
        <v>PI75075_Pressure of WCHR TDI Plant toT75002</v>
      </c>
      <c r="E463" cm="1">
        <f t="array" aca="1" ref="E463" ca="1">IF(ISNUMBER(SEARCH(INDIRECT(CELL("address")),TagData[[#This Row],[Combined]])),MAX($E$1:E462)+1,0)</f>
        <v>0</v>
      </c>
      <c r="F463" s="1" t="str">
        <f ca="1">IFERROR(INDEX(TagData[],MATCH(ROWS(F$1:$G462),TagData[Search],0),4),"")</f>
        <v/>
      </c>
    </row>
    <row r="464" spans="1:6" x14ac:dyDescent="0.3">
      <c r="A464">
        <v>1157</v>
      </c>
      <c r="B464" s="1" t="s">
        <v>418</v>
      </c>
      <c r="C464" s="1" t="s">
        <v>419</v>
      </c>
      <c r="D464" s="1" t="str">
        <f>+TagData[[#This Row],[TagName]]&amp;"_"&amp;TagData[[#This Row],[Description]]</f>
        <v>PI75075_Pressure of WCHR TDI Plant toT75002</v>
      </c>
      <c r="E464" cm="1">
        <f t="array" aca="1" ref="E464" ca="1">IF(ISNUMBER(SEARCH(INDIRECT(CELL("address")),TagData[[#This Row],[Combined]])),MAX($E$1:E463)+1,0)</f>
        <v>0</v>
      </c>
      <c r="F464" s="1" t="str">
        <f ca="1">IFERROR(INDEX(TagData[],MATCH(ROWS(F$1:$G463),TagData[Search],0),4),"")</f>
        <v/>
      </c>
    </row>
    <row r="465" spans="1:6" x14ac:dyDescent="0.3">
      <c r="A465">
        <v>1156</v>
      </c>
      <c r="B465" s="1" t="s">
        <v>420</v>
      </c>
      <c r="C465" s="1" t="s">
        <v>421</v>
      </c>
      <c r="D465" s="1" t="str">
        <f>+TagData[[#This Row],[TagName]]&amp;"_"&amp;TagData[[#This Row],[Description]]</f>
        <v>TI75072_Temp of WCHS T75005to TDI Plant</v>
      </c>
      <c r="E465" cm="1">
        <f t="array" aca="1" ref="E465" ca="1">IF(ISNUMBER(SEARCH(INDIRECT(CELL("address")),TagData[[#This Row],[Combined]])),MAX($E$1:E464)+1,0)</f>
        <v>0</v>
      </c>
      <c r="F465" s="1" t="str">
        <f ca="1">IFERROR(INDEX(TagData[],MATCH(ROWS(F$1:$G464),TagData[Search],0),4),"")</f>
        <v/>
      </c>
    </row>
    <row r="466" spans="1:6" x14ac:dyDescent="0.3">
      <c r="A466">
        <v>1162</v>
      </c>
      <c r="B466" s="1" t="s">
        <v>420</v>
      </c>
      <c r="C466" s="1" t="s">
        <v>421</v>
      </c>
      <c r="D466" s="1" t="str">
        <f>+TagData[[#This Row],[TagName]]&amp;"_"&amp;TagData[[#This Row],[Description]]</f>
        <v>TI75072_Temp of WCHS T75005to TDI Plant</v>
      </c>
      <c r="E466" cm="1">
        <f t="array" aca="1" ref="E466" ca="1">IF(ISNUMBER(SEARCH(INDIRECT(CELL("address")),TagData[[#This Row],[Combined]])),MAX($E$1:E465)+1,0)</f>
        <v>0</v>
      </c>
      <c r="F466" s="1" t="str">
        <f ca="1">IFERROR(INDEX(TagData[],MATCH(ROWS(F$1:$G465),TagData[Search],0),4),"")</f>
        <v/>
      </c>
    </row>
    <row r="467" spans="1:6" x14ac:dyDescent="0.3">
      <c r="A467">
        <v>1161</v>
      </c>
      <c r="B467" s="1" t="s">
        <v>422</v>
      </c>
      <c r="C467" s="1" t="s">
        <v>423</v>
      </c>
      <c r="D467" s="1" t="str">
        <f>+TagData[[#This Row],[TagName]]&amp;"_"&amp;TagData[[#This Row],[Description]]</f>
        <v>TI75074_Temp of WCHR TDI Plant toT75002</v>
      </c>
      <c r="E467" cm="1">
        <f t="array" aca="1" ref="E467" ca="1">IF(ISNUMBER(SEARCH(INDIRECT(CELL("address")),TagData[[#This Row],[Combined]])),MAX($E$1:E466)+1,0)</f>
        <v>0</v>
      </c>
      <c r="F467" s="1" t="str">
        <f ca="1">IFERROR(INDEX(TagData[],MATCH(ROWS(F$1:$G466),TagData[Search],0),4),"")</f>
        <v/>
      </c>
    </row>
    <row r="468" spans="1:6" x14ac:dyDescent="0.3">
      <c r="A468">
        <v>1166</v>
      </c>
      <c r="B468" s="1" t="s">
        <v>424</v>
      </c>
      <c r="C468" s="1" t="s">
        <v>425</v>
      </c>
      <c r="D468" s="1" t="str">
        <f>+TagData[[#This Row],[TagName]]&amp;"_"&amp;TagData[[#This Row],[Description]]</f>
        <v>FI75143_Flow of RFS P75103A/B to TDI Plant</v>
      </c>
      <c r="E468" cm="1">
        <f t="array" aca="1" ref="E468" ca="1">IF(ISNUMBER(SEARCH(INDIRECT(CELL("address")),TagData[[#This Row],[Combined]])),MAX($E$1:E467)+1,0)</f>
        <v>0</v>
      </c>
      <c r="F468" s="1" t="str">
        <f ca="1">IFERROR(INDEX(TagData[],MATCH(ROWS(F$1:$G467),TagData[Search],0),4),"")</f>
        <v/>
      </c>
    </row>
    <row r="469" spans="1:6" x14ac:dyDescent="0.3">
      <c r="A469">
        <v>1167</v>
      </c>
      <c r="B469" s="1" t="s">
        <v>422</v>
      </c>
      <c r="C469" s="1" t="s">
        <v>423</v>
      </c>
      <c r="D469" s="1" t="str">
        <f>+TagData[[#This Row],[TagName]]&amp;"_"&amp;TagData[[#This Row],[Description]]</f>
        <v>TI75074_Temp of WCHR TDI Plant toT75002</v>
      </c>
      <c r="E469" cm="1">
        <f t="array" aca="1" ref="E469" ca="1">IF(ISNUMBER(SEARCH(INDIRECT(CELL("address")),TagData[[#This Row],[Combined]])),MAX($E$1:E468)+1,0)</f>
        <v>0</v>
      </c>
      <c r="F469" s="1" t="str">
        <f ca="1">IFERROR(INDEX(TagData[],MATCH(ROWS(F$1:$G468),TagData[Search],0),4),"")</f>
        <v/>
      </c>
    </row>
    <row r="470" spans="1:6" x14ac:dyDescent="0.3">
      <c r="A470">
        <v>1172</v>
      </c>
      <c r="B470" s="1" t="s">
        <v>424</v>
      </c>
      <c r="C470" s="1" t="s">
        <v>425</v>
      </c>
      <c r="D470" s="1" t="str">
        <f>+TagData[[#This Row],[TagName]]&amp;"_"&amp;TagData[[#This Row],[Description]]</f>
        <v>FI75143_Flow of RFS P75103A/B to TDI Plant</v>
      </c>
      <c r="E470" cm="1">
        <f t="array" aca="1" ref="E470" ca="1">IF(ISNUMBER(SEARCH(INDIRECT(CELL("address")),TagData[[#This Row],[Combined]])),MAX($E$1:E469)+1,0)</f>
        <v>0</v>
      </c>
      <c r="F470" s="1" t="str">
        <f ca="1">IFERROR(INDEX(TagData[],MATCH(ROWS(F$1:$G469),TagData[Search],0),4),"")</f>
        <v/>
      </c>
    </row>
    <row r="471" spans="1:6" x14ac:dyDescent="0.3">
      <c r="A471">
        <v>1171</v>
      </c>
      <c r="B471" s="1" t="s">
        <v>426</v>
      </c>
      <c r="C471" s="1" t="s">
        <v>427</v>
      </c>
      <c r="D471" s="1" t="str">
        <f>+TagData[[#This Row],[TagName]]&amp;"_"&amp;TagData[[#This Row],[Description]]</f>
        <v>PI75141_Pressure RFS P75103A/B to TDI Plant</v>
      </c>
      <c r="E471" cm="1">
        <f t="array" aca="1" ref="E471" ca="1">IF(ISNUMBER(SEARCH(INDIRECT(CELL("address")),TagData[[#This Row],[Combined]])),MAX($E$1:E470)+1,0)</f>
        <v>0</v>
      </c>
      <c r="F471" s="1" t="str">
        <f ca="1">IFERROR(INDEX(TagData[],MATCH(ROWS(F$1:$G470),TagData[Search],0),4),"")</f>
        <v/>
      </c>
    </row>
    <row r="472" spans="1:6" x14ac:dyDescent="0.3">
      <c r="A472">
        <v>1176</v>
      </c>
      <c r="B472" s="1" t="s">
        <v>428</v>
      </c>
      <c r="C472" s="1" t="s">
        <v>429</v>
      </c>
      <c r="D472" s="1" t="str">
        <f>+TagData[[#This Row],[TagName]]&amp;"_"&amp;TagData[[#This Row],[Description]]</f>
        <v>AI75146_ Analyser of RFR Conductivity</v>
      </c>
      <c r="E472" cm="1">
        <f t="array" aca="1" ref="E472" ca="1">IF(ISNUMBER(SEARCH(INDIRECT(CELL("address")),TagData[[#This Row],[Combined]])),MAX($E$1:E471)+1,0)</f>
        <v>0</v>
      </c>
      <c r="F472" s="1" t="str">
        <f ca="1">IFERROR(INDEX(TagData[],MATCH(ROWS(F$1:$G471),TagData[Search],0),4),"")</f>
        <v/>
      </c>
    </row>
    <row r="473" spans="1:6" x14ac:dyDescent="0.3">
      <c r="A473">
        <v>1177</v>
      </c>
      <c r="B473" s="1" t="s">
        <v>426</v>
      </c>
      <c r="C473" s="1" t="s">
        <v>427</v>
      </c>
      <c r="D473" s="1" t="str">
        <f>+TagData[[#This Row],[TagName]]&amp;"_"&amp;TagData[[#This Row],[Description]]</f>
        <v>PI75141_Pressure RFS P75103A/B to TDI Plant</v>
      </c>
      <c r="E473" cm="1">
        <f t="array" aca="1" ref="E473" ca="1">IF(ISNUMBER(SEARCH(INDIRECT(CELL("address")),TagData[[#This Row],[Combined]])),MAX($E$1:E472)+1,0)</f>
        <v>0</v>
      </c>
      <c r="F473" s="1" t="str">
        <f ca="1">IFERROR(INDEX(TagData[],MATCH(ROWS(F$1:$G472),TagData[Search],0),4),"")</f>
        <v/>
      </c>
    </row>
    <row r="474" spans="1:6" x14ac:dyDescent="0.3">
      <c r="A474">
        <v>1182</v>
      </c>
      <c r="B474" s="1" t="s">
        <v>428</v>
      </c>
      <c r="C474" s="1" t="s">
        <v>429</v>
      </c>
      <c r="D474" s="1" t="str">
        <f>+TagData[[#This Row],[TagName]]&amp;"_"&amp;TagData[[#This Row],[Description]]</f>
        <v>AI75146_ Analyser of RFR Conductivity</v>
      </c>
      <c r="E474" cm="1">
        <f t="array" aca="1" ref="E474" ca="1">IF(ISNUMBER(SEARCH(INDIRECT(CELL("address")),TagData[[#This Row],[Combined]])),MAX($E$1:E473)+1,0)</f>
        <v>0</v>
      </c>
      <c r="F474" s="1" t="str">
        <f ca="1">IFERROR(INDEX(TagData[],MATCH(ROWS(F$1:$G473),TagData[Search],0),4),"")</f>
        <v/>
      </c>
    </row>
    <row r="475" spans="1:6" x14ac:dyDescent="0.3">
      <c r="A475">
        <v>1181</v>
      </c>
      <c r="B475" s="1" t="s">
        <v>430</v>
      </c>
      <c r="C475" s="1" t="s">
        <v>431</v>
      </c>
      <c r="D475" s="1" t="str">
        <f>+TagData[[#This Row],[TagName]]&amp;"_"&amp;TagData[[#This Row],[Description]]</f>
        <v>TI75144_Temp of RFR TDI Plant to T75104</v>
      </c>
      <c r="E475" cm="1">
        <f t="array" aca="1" ref="E475" ca="1">IF(ISNUMBER(SEARCH(INDIRECT(CELL("address")),TagData[[#This Row],[Combined]])),MAX($E$1:E474)+1,0)</f>
        <v>0</v>
      </c>
      <c r="F475" s="1" t="str">
        <f ca="1">IFERROR(INDEX(TagData[],MATCH(ROWS(F$1:$G474),TagData[Search],0),4),"")</f>
        <v/>
      </c>
    </row>
    <row r="476" spans="1:6" x14ac:dyDescent="0.3">
      <c r="A476">
        <v>1186</v>
      </c>
      <c r="B476" s="1" t="s">
        <v>432</v>
      </c>
      <c r="C476" s="1" t="s">
        <v>433</v>
      </c>
      <c r="D476" s="1" t="str">
        <f>+TagData[[#This Row],[TagName]]&amp;"_"&amp;TagData[[#This Row],[Description]]</f>
        <v>PI75145_Pressure of RFR TDI Plant to T75104</v>
      </c>
      <c r="E476" cm="1">
        <f t="array" aca="1" ref="E476" ca="1">IF(ISNUMBER(SEARCH(INDIRECT(CELL("address")),TagData[[#This Row],[Combined]])),MAX($E$1:E475)+1,0)</f>
        <v>0</v>
      </c>
      <c r="F476" s="1" t="str">
        <f ca="1">IFERROR(INDEX(TagData[],MATCH(ROWS(F$1:$G475),TagData[Search],0),4),"")</f>
        <v/>
      </c>
    </row>
    <row r="477" spans="1:6" x14ac:dyDescent="0.3">
      <c r="A477">
        <v>1187</v>
      </c>
      <c r="B477" s="1" t="s">
        <v>430</v>
      </c>
      <c r="C477" s="1" t="s">
        <v>431</v>
      </c>
      <c r="D477" s="1" t="str">
        <f>+TagData[[#This Row],[TagName]]&amp;"_"&amp;TagData[[#This Row],[Description]]</f>
        <v>TI75144_Temp of RFR TDI Plant to T75104</v>
      </c>
      <c r="E477" cm="1">
        <f t="array" aca="1" ref="E477" ca="1">IF(ISNUMBER(SEARCH(INDIRECT(CELL("address")),TagData[[#This Row],[Combined]])),MAX($E$1:E476)+1,0)</f>
        <v>0</v>
      </c>
      <c r="F477" s="1" t="str">
        <f ca="1">IFERROR(INDEX(TagData[],MATCH(ROWS(F$1:$G476),TagData[Search],0),4),"")</f>
        <v/>
      </c>
    </row>
    <row r="478" spans="1:6" x14ac:dyDescent="0.3">
      <c r="A478">
        <v>1192</v>
      </c>
      <c r="B478" s="1" t="s">
        <v>432</v>
      </c>
      <c r="C478" s="1" t="s">
        <v>433</v>
      </c>
      <c r="D478" s="1" t="str">
        <f>+TagData[[#This Row],[TagName]]&amp;"_"&amp;TagData[[#This Row],[Description]]</f>
        <v>PI75145_Pressure of RFR TDI Plant to T75104</v>
      </c>
      <c r="E478" cm="1">
        <f t="array" aca="1" ref="E478" ca="1">IF(ISNUMBER(SEARCH(INDIRECT(CELL("address")),TagData[[#This Row],[Combined]])),MAX($E$1:E477)+1,0)</f>
        <v>0</v>
      </c>
      <c r="F478" s="1" t="str">
        <f ca="1">IFERROR(INDEX(TagData[],MATCH(ROWS(F$1:$G477),TagData[Search],0),4),"")</f>
        <v/>
      </c>
    </row>
    <row r="479" spans="1:6" x14ac:dyDescent="0.3">
      <c r="A479">
        <v>1191</v>
      </c>
      <c r="B479" s="1" t="s">
        <v>434</v>
      </c>
      <c r="C479" s="1" t="s">
        <v>435</v>
      </c>
      <c r="D479" s="1" t="str">
        <f>+TagData[[#This Row],[TagName]]&amp;"_"&amp;TagData[[#This Row],[Description]]</f>
        <v>TI75142_Temp of RFS P75103A/B to TDI Plant</v>
      </c>
      <c r="E479" cm="1">
        <f t="array" aca="1" ref="E479" ca="1">IF(ISNUMBER(SEARCH(INDIRECT(CELL("address")),TagData[[#This Row],[Combined]])),MAX($E$1:E478)+1,0)</f>
        <v>0</v>
      </c>
      <c r="F479" s="1" t="str">
        <f ca="1">IFERROR(INDEX(TagData[],MATCH(ROWS(F$1:$G478),TagData[Search],0),4),"")</f>
        <v/>
      </c>
    </row>
    <row r="480" spans="1:6" x14ac:dyDescent="0.3">
      <c r="A480">
        <v>1196</v>
      </c>
      <c r="B480" s="1" t="s">
        <v>436</v>
      </c>
      <c r="C480" s="1" t="s">
        <v>437</v>
      </c>
      <c r="D480" s="1" t="str">
        <f>+TagData[[#This Row],[TagName]]&amp;"_"&amp;TagData[[#This Row],[Description]]</f>
        <v xml:space="preserve">HIC35216_Hand Control Valve SLP to E35204 </v>
      </c>
      <c r="E480" cm="1">
        <f t="array" aca="1" ref="E480" ca="1">IF(ISNUMBER(SEARCH(INDIRECT(CELL("address")),TagData[[#This Row],[Combined]])),MAX($E$1:E479)+1,0)</f>
        <v>0</v>
      </c>
      <c r="F480" s="1" t="str">
        <f ca="1">IFERROR(INDEX(TagData[],MATCH(ROWS(F$1:$G479),TagData[Search],0),4),"")</f>
        <v/>
      </c>
    </row>
    <row r="481" spans="1:6" x14ac:dyDescent="0.3">
      <c r="A481">
        <v>1197</v>
      </c>
      <c r="B481" s="1" t="s">
        <v>434</v>
      </c>
      <c r="C481" s="1" t="s">
        <v>435</v>
      </c>
      <c r="D481" s="1" t="str">
        <f>+TagData[[#This Row],[TagName]]&amp;"_"&amp;TagData[[#This Row],[Description]]</f>
        <v>TI75142_Temp of RFS P75103A/B to TDI Plant</v>
      </c>
      <c r="E481" cm="1">
        <f t="array" aca="1" ref="E481" ca="1">IF(ISNUMBER(SEARCH(INDIRECT(CELL("address")),TagData[[#This Row],[Combined]])),MAX($E$1:E480)+1,0)</f>
        <v>0</v>
      </c>
      <c r="F481" s="1" t="str">
        <f ca="1">IFERROR(INDEX(TagData[],MATCH(ROWS(F$1:$G480),TagData[Search],0),4),"")</f>
        <v/>
      </c>
    </row>
    <row r="482" spans="1:6" x14ac:dyDescent="0.3">
      <c r="A482">
        <v>1202</v>
      </c>
      <c r="B482" s="1" t="s">
        <v>436</v>
      </c>
      <c r="C482" s="1" t="s">
        <v>437</v>
      </c>
      <c r="D482" s="1" t="str">
        <f>+TagData[[#This Row],[TagName]]&amp;"_"&amp;TagData[[#This Row],[Description]]</f>
        <v xml:space="preserve">HIC35216_Hand Control Valve SLP to E35204 </v>
      </c>
      <c r="E482" cm="1">
        <f t="array" aca="1" ref="E482" ca="1">IF(ISNUMBER(SEARCH(INDIRECT(CELL("address")),TagData[[#This Row],[Combined]])),MAX($E$1:E481)+1,0)</f>
        <v>0</v>
      </c>
      <c r="F482" s="1" t="str">
        <f ca="1">IFERROR(INDEX(TagData[],MATCH(ROWS(F$1:$G481),TagData[Search],0),4),"")</f>
        <v/>
      </c>
    </row>
    <row r="483" spans="1:6" x14ac:dyDescent="0.3">
      <c r="A483">
        <v>1201</v>
      </c>
      <c r="B483" s="1" t="s">
        <v>438</v>
      </c>
      <c r="C483" s="1" t="s">
        <v>439</v>
      </c>
      <c r="D483" s="1" t="str">
        <f>+TagData[[#This Row],[TagName]]&amp;"_"&amp;TagData[[#This Row],[Description]]</f>
        <v>HIC35318_  Hand Control Valve ODCB to T35301</v>
      </c>
      <c r="E483" cm="1">
        <f t="array" aca="1" ref="E483" ca="1">IF(ISNUMBER(SEARCH(INDIRECT(CELL("address")),TagData[[#This Row],[Combined]])),MAX($E$1:E482)+1,0)</f>
        <v>0</v>
      </c>
      <c r="F483" s="1" t="str">
        <f ca="1">IFERROR(INDEX(TagData[],MATCH(ROWS(F$1:$G482),TagData[Search],0),4),"")</f>
        <v/>
      </c>
    </row>
    <row r="484" spans="1:6" x14ac:dyDescent="0.3">
      <c r="A484">
        <v>1207</v>
      </c>
      <c r="B484" s="1" t="s">
        <v>438</v>
      </c>
      <c r="C484" s="1" t="s">
        <v>439</v>
      </c>
      <c r="D484" s="1" t="str">
        <f>+TagData[[#This Row],[TagName]]&amp;"_"&amp;TagData[[#This Row],[Description]]</f>
        <v>HIC35318_  Hand Control Valve ODCB to T35301</v>
      </c>
      <c r="E484" cm="1">
        <f t="array" aca="1" ref="E484" ca="1">IF(ISNUMBER(SEARCH(INDIRECT(CELL("address")),TagData[[#This Row],[Combined]])),MAX($E$1:E483)+1,0)</f>
        <v>0</v>
      </c>
      <c r="F484" s="1" t="str">
        <f ca="1">IFERROR(INDEX(TagData[],MATCH(ROWS(F$1:$G483),TagData[Search],0),4),"")</f>
        <v/>
      </c>
    </row>
    <row r="485" spans="1:6" x14ac:dyDescent="0.3">
      <c r="A485">
        <v>1206</v>
      </c>
      <c r="B485" s="1" t="s">
        <v>440</v>
      </c>
      <c r="C485" s="1" t="s">
        <v>441</v>
      </c>
      <c r="D485" s="1" t="str">
        <f>+TagData[[#This Row],[TagName]]&amp;"_"&amp;TagData[[#This Row],[Description]]</f>
        <v>HIC35319_  Hand Control valve ODCB to T35305</v>
      </c>
      <c r="E485" cm="1">
        <f t="array" aca="1" ref="E485" ca="1">IF(ISNUMBER(SEARCH(INDIRECT(CELL("address")),TagData[[#This Row],[Combined]])),MAX($E$1:E484)+1,0)</f>
        <v>0</v>
      </c>
      <c r="F485" s="1" t="str">
        <f ca="1">IFERROR(INDEX(TagData[],MATCH(ROWS(F$1:$G484),TagData[Search],0),4),"")</f>
        <v/>
      </c>
    </row>
    <row r="486" spans="1:6" x14ac:dyDescent="0.3">
      <c r="A486">
        <v>1212</v>
      </c>
      <c r="B486" s="1" t="s">
        <v>440</v>
      </c>
      <c r="C486" s="1" t="s">
        <v>441</v>
      </c>
      <c r="D486" s="1" t="str">
        <f>+TagData[[#This Row],[TagName]]&amp;"_"&amp;TagData[[#This Row],[Description]]</f>
        <v>HIC35319_  Hand Control valve ODCB to T35305</v>
      </c>
      <c r="E486" cm="1">
        <f t="array" aca="1" ref="E486" ca="1">IF(ISNUMBER(SEARCH(INDIRECT(CELL("address")),TagData[[#This Row],[Combined]])),MAX($E$1:E485)+1,0)</f>
        <v>0</v>
      </c>
      <c r="F486" s="1" t="str">
        <f ca="1">IFERROR(INDEX(TagData[],MATCH(ROWS(F$1:$G485),TagData[Search],0),4),"")</f>
        <v/>
      </c>
    </row>
    <row r="487" spans="1:6" x14ac:dyDescent="0.3">
      <c r="A487">
        <v>1211</v>
      </c>
      <c r="B487" s="1" t="s">
        <v>442</v>
      </c>
      <c r="C487" s="1" t="s">
        <v>443</v>
      </c>
      <c r="D487" s="1" t="str">
        <f>+TagData[[#This Row],[TagName]]&amp;"_"&amp;TagData[[#This Row],[Description]]</f>
        <v>HIC35505_ Hand control valve NLP to B35501A/B</v>
      </c>
      <c r="E487" cm="1">
        <f t="array" aca="1" ref="E487" ca="1">IF(ISNUMBER(SEARCH(INDIRECT(CELL("address")),TagData[[#This Row],[Combined]])),MAX($E$1:E486)+1,0)</f>
        <v>0</v>
      </c>
      <c r="F487" s="1" t="str">
        <f ca="1">IFERROR(INDEX(TagData[],MATCH(ROWS(F$1:$G486),TagData[Search],0),4),"")</f>
        <v/>
      </c>
    </row>
    <row r="488" spans="1:6" x14ac:dyDescent="0.3">
      <c r="A488">
        <v>1217</v>
      </c>
      <c r="B488" s="1" t="s">
        <v>442</v>
      </c>
      <c r="C488" s="1" t="s">
        <v>443</v>
      </c>
      <c r="D488" s="1" t="str">
        <f>+TagData[[#This Row],[TagName]]&amp;"_"&amp;TagData[[#This Row],[Description]]</f>
        <v>HIC35505_ Hand control valve NLP to B35501A/B</v>
      </c>
      <c r="E488" cm="1">
        <f t="array" aca="1" ref="E488" ca="1">IF(ISNUMBER(SEARCH(INDIRECT(CELL("address")),TagData[[#This Row],[Combined]])),MAX($E$1:E487)+1,0)</f>
        <v>0</v>
      </c>
      <c r="F488" s="1" t="str">
        <f ca="1">IFERROR(INDEX(TagData[],MATCH(ROWS(F$1:$G487),TagData[Search],0),4),"")</f>
        <v/>
      </c>
    </row>
    <row r="489" spans="1:6" x14ac:dyDescent="0.3">
      <c r="A489">
        <v>1216</v>
      </c>
      <c r="B489" s="1" t="s">
        <v>444</v>
      </c>
      <c r="C489" s="1" t="s">
        <v>445</v>
      </c>
      <c r="D489" s="1" t="str">
        <f>+TagData[[#This Row],[TagName]]&amp;"_"&amp;TagData[[#This Row],[Description]]</f>
        <v>SIC36132_Speed Control R36106</v>
      </c>
      <c r="E489" cm="1">
        <f t="array" aca="1" ref="E489" ca="1">IF(ISNUMBER(SEARCH(INDIRECT(CELL("address")),TagData[[#This Row],[Combined]])),MAX($E$1:E488)+1,0)</f>
        <v>0</v>
      </c>
      <c r="F489" s="1" t="str">
        <f ca="1">IFERROR(INDEX(TagData[],MATCH(ROWS(F$1:$G488),TagData[Search],0),4),"")</f>
        <v/>
      </c>
    </row>
    <row r="490" spans="1:6" x14ac:dyDescent="0.3">
      <c r="A490">
        <v>1221</v>
      </c>
      <c r="B490" s="1" t="s">
        <v>446</v>
      </c>
      <c r="C490" s="1" t="s">
        <v>447</v>
      </c>
      <c r="D490" s="1" t="str">
        <f>+TagData[[#This Row],[TagName]]&amp;"_"&amp;TagData[[#This Row],[Description]]</f>
        <v>JI36104_Current Circ Pmp Seal Liquid P36102.01</v>
      </c>
      <c r="E490" cm="1">
        <f t="array" aca="1" ref="E490" ca="1">IF(ISNUMBER(SEARCH(INDIRECT(CELL("address")),TagData[[#This Row],[Combined]])),MAX($E$1:E489)+1,0)</f>
        <v>0</v>
      </c>
      <c r="F490" s="1" t="str">
        <f ca="1">IFERROR(INDEX(TagData[],MATCH(ROWS(F$1:$G489),TagData[Search],0),4),"")</f>
        <v/>
      </c>
    </row>
    <row r="491" spans="1:6" x14ac:dyDescent="0.3">
      <c r="A491">
        <v>1222</v>
      </c>
      <c r="B491" s="1" t="s">
        <v>444</v>
      </c>
      <c r="C491" s="1" t="s">
        <v>445</v>
      </c>
      <c r="D491" s="1" t="str">
        <f>+TagData[[#This Row],[TagName]]&amp;"_"&amp;TagData[[#This Row],[Description]]</f>
        <v>SIC36132_Speed Control R36106</v>
      </c>
      <c r="E491" cm="1">
        <f t="array" aca="1" ref="E491" ca="1">IF(ISNUMBER(SEARCH(INDIRECT(CELL("address")),TagData[[#This Row],[Combined]])),MAX($E$1:E490)+1,0)</f>
        <v>0</v>
      </c>
      <c r="F491" s="1" t="str">
        <f ca="1">IFERROR(INDEX(TagData[],MATCH(ROWS(F$1:$G490),TagData[Search],0),4),"")</f>
        <v/>
      </c>
    </row>
    <row r="492" spans="1:6" x14ac:dyDescent="0.3">
      <c r="A492">
        <v>1226</v>
      </c>
      <c r="B492" s="1" t="s">
        <v>448</v>
      </c>
      <c r="C492" s="1" t="s">
        <v>449</v>
      </c>
      <c r="D492" s="1" t="str">
        <f>+TagData[[#This Row],[TagName]]&amp;"_"&amp;TagData[[#This Row],[Description]]</f>
        <v>AIC36105_AnalyzerCOCI2 in Reaction Gas</v>
      </c>
      <c r="E492" cm="1">
        <f t="array" aca="1" ref="E492" ca="1">IF(ISNUMBER(SEARCH(INDIRECT(CELL("address")),TagData[[#This Row],[Combined]])),MAX($E$1:E491)+1,0)</f>
        <v>0</v>
      </c>
      <c r="F492" s="1" t="str">
        <f ca="1">IFERROR(INDEX(TagData[],MATCH(ROWS(F$1:$G491),TagData[Search],0),4),"")</f>
        <v/>
      </c>
    </row>
    <row r="493" spans="1:6" x14ac:dyDescent="0.3">
      <c r="A493">
        <v>1227</v>
      </c>
      <c r="B493" s="1" t="s">
        <v>446</v>
      </c>
      <c r="C493" s="1" t="s">
        <v>447</v>
      </c>
      <c r="D493" s="1" t="str">
        <f>+TagData[[#This Row],[TagName]]&amp;"_"&amp;TagData[[#This Row],[Description]]</f>
        <v>JI36104_Current Circ Pmp Seal Liquid P36102.01</v>
      </c>
      <c r="E493" cm="1">
        <f t="array" aca="1" ref="E493" ca="1">IF(ISNUMBER(SEARCH(INDIRECT(CELL("address")),TagData[[#This Row],[Combined]])),MAX($E$1:E492)+1,0)</f>
        <v>0</v>
      </c>
      <c r="F493" s="1" t="str">
        <f ca="1">IFERROR(INDEX(TagData[],MATCH(ROWS(F$1:$G492),TagData[Search],0),4),"")</f>
        <v/>
      </c>
    </row>
    <row r="494" spans="1:6" x14ac:dyDescent="0.3">
      <c r="A494">
        <v>1232</v>
      </c>
      <c r="B494" s="1" t="s">
        <v>448</v>
      </c>
      <c r="C494" s="1" t="s">
        <v>449</v>
      </c>
      <c r="D494" s="1" t="str">
        <f>+TagData[[#This Row],[TagName]]&amp;"_"&amp;TagData[[#This Row],[Description]]</f>
        <v>AIC36105_AnalyzerCOCI2 in Reaction Gas</v>
      </c>
      <c r="E494" cm="1">
        <f t="array" aca="1" ref="E494" ca="1">IF(ISNUMBER(SEARCH(INDIRECT(CELL("address")),TagData[[#This Row],[Combined]])),MAX($E$1:E493)+1,0)</f>
        <v>0</v>
      </c>
      <c r="F494" s="1" t="str">
        <f ca="1">IFERROR(INDEX(TagData[],MATCH(ROWS(F$1:$G493),TagData[Search],0),4),"")</f>
        <v/>
      </c>
    </row>
    <row r="495" spans="1:6" x14ac:dyDescent="0.3">
      <c r="A495">
        <v>1231</v>
      </c>
      <c r="B495" s="1" t="s">
        <v>450</v>
      </c>
      <c r="C495" s="1" t="s">
        <v>451</v>
      </c>
      <c r="D495" s="1" t="str">
        <f>+TagData[[#This Row],[TagName]]&amp;"_"&amp;TagData[[#This Row],[Description]]</f>
        <v>AIC36107_AnalyzerCOCI2 in Reaction Gas_1</v>
      </c>
      <c r="E495" cm="1">
        <f t="array" aca="1" ref="E495" ca="1">IF(ISNUMBER(SEARCH(INDIRECT(CELL("address")),TagData[[#This Row],[Combined]])),MAX($E$1:E494)+1,0)</f>
        <v>0</v>
      </c>
      <c r="F495" s="1" t="str">
        <f ca="1">IFERROR(INDEX(TagData[],MATCH(ROWS(F$1:$G494),TagData[Search],0),4),"")</f>
        <v/>
      </c>
    </row>
    <row r="496" spans="1:6" x14ac:dyDescent="0.3">
      <c r="A496">
        <v>1237</v>
      </c>
      <c r="B496" s="1" t="s">
        <v>450</v>
      </c>
      <c r="C496" s="1" t="s">
        <v>451</v>
      </c>
      <c r="D496" s="1" t="str">
        <f>+TagData[[#This Row],[TagName]]&amp;"_"&amp;TagData[[#This Row],[Description]]</f>
        <v>AIC36107_AnalyzerCOCI2 in Reaction Gas_1</v>
      </c>
      <c r="E496" cm="1">
        <f t="array" aca="1" ref="E496" ca="1">IF(ISNUMBER(SEARCH(INDIRECT(CELL("address")),TagData[[#This Row],[Combined]])),MAX($E$1:E495)+1,0)</f>
        <v>0</v>
      </c>
      <c r="F496" s="1" t="str">
        <f ca="1">IFERROR(INDEX(TagData[],MATCH(ROWS(F$1:$G495),TagData[Search],0),4),"")</f>
        <v/>
      </c>
    </row>
    <row r="497" spans="1:6" x14ac:dyDescent="0.3">
      <c r="A497">
        <v>1236</v>
      </c>
      <c r="B497" s="1" t="s">
        <v>452</v>
      </c>
      <c r="C497" s="1" t="s">
        <v>453</v>
      </c>
      <c r="D497" s="1" t="str">
        <f>+TagData[[#This Row],[TagName]]&amp;"_"&amp;TagData[[#This Row],[Description]]</f>
        <v>KIC36162_ Control Valve P36102 to E36103</v>
      </c>
      <c r="E497" cm="1">
        <f t="array" aca="1" ref="E497" ca="1">IF(ISNUMBER(SEARCH(INDIRECT(CELL("address")),TagData[[#This Row],[Combined]])),MAX($E$1:E496)+1,0)</f>
        <v>0</v>
      </c>
      <c r="F497" s="1" t="str">
        <f ca="1">IFERROR(INDEX(TagData[],MATCH(ROWS(F$1:$G496),TagData[Search],0),4),"")</f>
        <v/>
      </c>
    </row>
    <row r="498" spans="1:6" x14ac:dyDescent="0.3">
      <c r="A498">
        <v>1242</v>
      </c>
      <c r="B498" s="1" t="s">
        <v>452</v>
      </c>
      <c r="C498" s="1" t="s">
        <v>453</v>
      </c>
      <c r="D498" s="1" t="str">
        <f>+TagData[[#This Row],[TagName]]&amp;"_"&amp;TagData[[#This Row],[Description]]</f>
        <v>KIC36162_ Control Valve P36102 to E36103</v>
      </c>
      <c r="E498" cm="1">
        <f t="array" aca="1" ref="E498" ca="1">IF(ISNUMBER(SEARCH(INDIRECT(CELL("address")),TagData[[#This Row],[Combined]])),MAX($E$1:E497)+1,0)</f>
        <v>0</v>
      </c>
      <c r="F498" s="1" t="str">
        <f ca="1">IFERROR(INDEX(TagData[],MATCH(ROWS(F$1:$G497),TagData[Search],0),4),"")</f>
        <v/>
      </c>
    </row>
    <row r="499" spans="1:6" x14ac:dyDescent="0.3">
      <c r="A499">
        <v>1241</v>
      </c>
      <c r="B499" s="1" t="s">
        <v>454</v>
      </c>
      <c r="C499" s="1" t="s">
        <v>455</v>
      </c>
      <c r="D499" s="1" t="str">
        <f>+TagData[[#This Row],[TagName]]&amp;"_"&amp;TagData[[#This Row],[Description]]</f>
        <v>KIC36256_Control Valve TDI-Mix from P36202A</v>
      </c>
      <c r="E499" cm="1">
        <f t="array" aca="1" ref="E499" ca="1">IF(ISNUMBER(SEARCH(INDIRECT(CELL("address")),TagData[[#This Row],[Combined]])),MAX($E$1:E498)+1,0)</f>
        <v>0</v>
      </c>
      <c r="F499" s="1" t="str">
        <f ca="1">IFERROR(INDEX(TagData[],MATCH(ROWS(F$1:$G498),TagData[Search],0),4),"")</f>
        <v/>
      </c>
    </row>
    <row r="500" spans="1:6" x14ac:dyDescent="0.3">
      <c r="A500">
        <v>1247</v>
      </c>
      <c r="B500" s="1" t="s">
        <v>454</v>
      </c>
      <c r="C500" s="1" t="s">
        <v>455</v>
      </c>
      <c r="D500" s="1" t="str">
        <f>+TagData[[#This Row],[TagName]]&amp;"_"&amp;TagData[[#This Row],[Description]]</f>
        <v>KIC36256_Control Valve TDI-Mix from P36202A</v>
      </c>
      <c r="E500" cm="1">
        <f t="array" aca="1" ref="E500" ca="1">IF(ISNUMBER(SEARCH(INDIRECT(CELL("address")),TagData[[#This Row],[Combined]])),MAX($E$1:E499)+1,0)</f>
        <v>0</v>
      </c>
      <c r="F500" s="1" t="str">
        <f ca="1">IFERROR(INDEX(TagData[],MATCH(ROWS(F$1:$G499),TagData[Search],0),4),"")</f>
        <v/>
      </c>
    </row>
    <row r="501" spans="1:6" x14ac:dyDescent="0.3">
      <c r="A501">
        <v>1246</v>
      </c>
      <c r="B501" s="1" t="s">
        <v>456</v>
      </c>
      <c r="C501" s="1" t="s">
        <v>457</v>
      </c>
      <c r="D501" s="1" t="str">
        <f>+TagData[[#This Row],[TagName]]&amp;"_"&amp;TagData[[#This Row],[Description]]</f>
        <v>KIC36258_Control Valve TDI-Mix from P36202B</v>
      </c>
      <c r="E501" cm="1">
        <f t="array" aca="1" ref="E501" ca="1">IF(ISNUMBER(SEARCH(INDIRECT(CELL("address")),TagData[[#This Row],[Combined]])),MAX($E$1:E500)+1,0)</f>
        <v>0</v>
      </c>
      <c r="F501" s="1" t="str">
        <f ca="1">IFERROR(INDEX(TagData[],MATCH(ROWS(F$1:$G500),TagData[Search],0),4),"")</f>
        <v/>
      </c>
    </row>
    <row r="502" spans="1:6" x14ac:dyDescent="0.3">
      <c r="A502">
        <v>1252</v>
      </c>
      <c r="B502" s="1" t="s">
        <v>456</v>
      </c>
      <c r="C502" s="1" t="s">
        <v>457</v>
      </c>
      <c r="D502" s="1" t="str">
        <f>+TagData[[#This Row],[TagName]]&amp;"_"&amp;TagData[[#This Row],[Description]]</f>
        <v>KIC36258_Control Valve TDI-Mix from P36202B</v>
      </c>
      <c r="E502" cm="1">
        <f t="array" aca="1" ref="E502" ca="1">IF(ISNUMBER(SEARCH(INDIRECT(CELL("address")),TagData[[#This Row],[Combined]])),MAX($E$1:E501)+1,0)</f>
        <v>0</v>
      </c>
      <c r="F502" s="1" t="str">
        <f ca="1">IFERROR(INDEX(TagData[],MATCH(ROWS(F$1:$G501),TagData[Search],0),4),"")</f>
        <v/>
      </c>
    </row>
    <row r="503" spans="1:6" x14ac:dyDescent="0.3">
      <c r="A503">
        <v>1251</v>
      </c>
      <c r="B503" s="1" t="s">
        <v>458</v>
      </c>
      <c r="C503" s="1" t="s">
        <v>459</v>
      </c>
      <c r="D503" s="1" t="str">
        <f>+TagData[[#This Row],[TagName]]&amp;"_"&amp;TagData[[#This Row],[Description]]</f>
        <v>LIC36353_ Flow Control TDI to C37101</v>
      </c>
      <c r="E503" cm="1">
        <f t="array" aca="1" ref="E503" ca="1">IF(ISNUMBER(SEARCH(INDIRECT(CELL("address")),TagData[[#This Row],[Combined]])),MAX($E$1:E502)+1,0)</f>
        <v>0</v>
      </c>
      <c r="F503" s="1" t="str">
        <f ca="1">IFERROR(INDEX(TagData[],MATCH(ROWS(F$1:$G502),TagData[Search],0),4),"")</f>
        <v/>
      </c>
    </row>
    <row r="504" spans="1:6" x14ac:dyDescent="0.3">
      <c r="A504">
        <v>1256</v>
      </c>
      <c r="B504" s="1" t="s">
        <v>460</v>
      </c>
      <c r="C504" s="1" t="s">
        <v>461</v>
      </c>
      <c r="D504" s="1" t="str">
        <f>+TagData[[#This Row],[TagName]]&amp;"_"&amp;TagData[[#This Row],[Description]]</f>
        <v>KIC36371_ Control Valve TDI-Mix from P36302A</v>
      </c>
      <c r="E504" cm="1">
        <f t="array" aca="1" ref="E504" ca="1">IF(ISNUMBER(SEARCH(INDIRECT(CELL("address")),TagData[[#This Row],[Combined]])),MAX($E$1:E503)+1,0)</f>
        <v>0</v>
      </c>
      <c r="F504" s="1" t="str">
        <f ca="1">IFERROR(INDEX(TagData[],MATCH(ROWS(F$1:$G503),TagData[Search],0),4),"")</f>
        <v/>
      </c>
    </row>
    <row r="505" spans="1:6" x14ac:dyDescent="0.3">
      <c r="A505">
        <v>1257</v>
      </c>
      <c r="B505" s="1" t="s">
        <v>458</v>
      </c>
      <c r="C505" s="1" t="s">
        <v>459</v>
      </c>
      <c r="D505" s="1" t="str">
        <f>+TagData[[#This Row],[TagName]]&amp;"_"&amp;TagData[[#This Row],[Description]]</f>
        <v>LIC36353_ Flow Control TDI to C37101</v>
      </c>
      <c r="E505" cm="1">
        <f t="array" aca="1" ref="E505" ca="1">IF(ISNUMBER(SEARCH(INDIRECT(CELL("address")),TagData[[#This Row],[Combined]])),MAX($E$1:E504)+1,0)</f>
        <v>0</v>
      </c>
      <c r="F505" s="1" t="str">
        <f ca="1">IFERROR(INDEX(TagData[],MATCH(ROWS(F$1:$G504),TagData[Search],0),4),"")</f>
        <v/>
      </c>
    </row>
    <row r="506" spans="1:6" x14ac:dyDescent="0.3">
      <c r="A506">
        <v>1262</v>
      </c>
      <c r="B506" s="1" t="s">
        <v>460</v>
      </c>
      <c r="C506" s="1" t="s">
        <v>461</v>
      </c>
      <c r="D506" s="1" t="str">
        <f>+TagData[[#This Row],[TagName]]&amp;"_"&amp;TagData[[#This Row],[Description]]</f>
        <v>KIC36371_ Control Valve TDI-Mix from P36302A</v>
      </c>
      <c r="E506" cm="1">
        <f t="array" aca="1" ref="E506" ca="1">IF(ISNUMBER(SEARCH(INDIRECT(CELL("address")),TagData[[#This Row],[Combined]])),MAX($E$1:E505)+1,0)</f>
        <v>0</v>
      </c>
      <c r="F506" s="1" t="str">
        <f ca="1">IFERROR(INDEX(TagData[],MATCH(ROWS(F$1:$G505),TagData[Search],0),4),"")</f>
        <v/>
      </c>
    </row>
    <row r="507" spans="1:6" x14ac:dyDescent="0.3">
      <c r="A507">
        <v>1261</v>
      </c>
      <c r="B507" s="1" t="s">
        <v>462</v>
      </c>
      <c r="C507" s="1" t="s">
        <v>463</v>
      </c>
      <c r="D507" s="1" t="str">
        <f>+TagData[[#This Row],[TagName]]&amp;"_"&amp;TagData[[#This Row],[Description]]</f>
        <v>KIC36373_ Control Valve TDI-Mix from P36302B</v>
      </c>
      <c r="E507" cm="1">
        <f t="array" aca="1" ref="E507" ca="1">IF(ISNUMBER(SEARCH(INDIRECT(CELL("address")),TagData[[#This Row],[Combined]])),MAX($E$1:E506)+1,0)</f>
        <v>0</v>
      </c>
      <c r="F507" s="1" t="str">
        <f ca="1">IFERROR(INDEX(TagData[],MATCH(ROWS(F$1:$G506),TagData[Search],0),4),"")</f>
        <v/>
      </c>
    </row>
    <row r="508" spans="1:6" x14ac:dyDescent="0.3">
      <c r="A508">
        <v>1266</v>
      </c>
      <c r="B508" s="1" t="s">
        <v>464</v>
      </c>
      <c r="C508" s="1" t="s">
        <v>465</v>
      </c>
      <c r="D508" s="1" t="str">
        <f>+TagData[[#This Row],[TagName]]&amp;"_"&amp;TagData[[#This Row],[Description]]</f>
        <v>HIC36436_Hand Cntrl valve Pho from S36401.02</v>
      </c>
      <c r="E508" cm="1">
        <f t="array" aca="1" ref="E508" ca="1">IF(ISNUMBER(SEARCH(INDIRECT(CELL("address")),TagData[[#This Row],[Combined]])),MAX($E$1:E507)+1,0)</f>
        <v>0</v>
      </c>
      <c r="F508" s="1" t="str">
        <f ca="1">IFERROR(INDEX(TagData[],MATCH(ROWS(F$1:$G507),TagData[Search],0),4),"")</f>
        <v/>
      </c>
    </row>
    <row r="509" spans="1:6" x14ac:dyDescent="0.3">
      <c r="A509">
        <v>1267</v>
      </c>
      <c r="B509" s="1" t="s">
        <v>462</v>
      </c>
      <c r="C509" s="1" t="s">
        <v>463</v>
      </c>
      <c r="D509" s="1" t="str">
        <f>+TagData[[#This Row],[TagName]]&amp;"_"&amp;TagData[[#This Row],[Description]]</f>
        <v>KIC36373_ Control Valve TDI-Mix from P36302B</v>
      </c>
      <c r="E509" cm="1">
        <f t="array" aca="1" ref="E509" ca="1">IF(ISNUMBER(SEARCH(INDIRECT(CELL("address")),TagData[[#This Row],[Combined]])),MAX($E$1:E508)+1,0)</f>
        <v>0</v>
      </c>
      <c r="F509" s="1" t="str">
        <f ca="1">IFERROR(INDEX(TagData[],MATCH(ROWS(F$1:$G508),TagData[Search],0),4),"")</f>
        <v/>
      </c>
    </row>
    <row r="510" spans="1:6" x14ac:dyDescent="0.3">
      <c r="A510">
        <v>1271</v>
      </c>
      <c r="B510" s="1" t="s">
        <v>466</v>
      </c>
      <c r="C510" s="1" t="s">
        <v>467</v>
      </c>
      <c r="D510" s="1" t="str">
        <f>+TagData[[#This Row],[TagName]]&amp;"_"&amp;TagData[[#This Row],[Description]]</f>
        <v>HIC36405_Hand Cntrl Valve ByPass PV-36413</v>
      </c>
      <c r="E510" cm="1">
        <f t="array" aca="1" ref="E510" ca="1">IF(ISNUMBER(SEARCH(INDIRECT(CELL("address")),TagData[[#This Row],[Combined]])),MAX($E$1:E509)+1,0)</f>
        <v>0</v>
      </c>
      <c r="F510" s="1" t="str">
        <f ca="1">IFERROR(INDEX(TagData[],MATCH(ROWS(F$1:$G509),TagData[Search],0),4),"")</f>
        <v/>
      </c>
    </row>
    <row r="511" spans="1:6" x14ac:dyDescent="0.3">
      <c r="A511">
        <v>1272</v>
      </c>
      <c r="B511" s="1" t="s">
        <v>464</v>
      </c>
      <c r="C511" s="1" t="s">
        <v>465</v>
      </c>
      <c r="D511" s="1" t="str">
        <f>+TagData[[#This Row],[TagName]]&amp;"_"&amp;TagData[[#This Row],[Description]]</f>
        <v>HIC36436_Hand Cntrl valve Pho from S36401.02</v>
      </c>
      <c r="E511" cm="1">
        <f t="array" aca="1" ref="E511" ca="1">IF(ISNUMBER(SEARCH(INDIRECT(CELL("address")),TagData[[#This Row],[Combined]])),MAX($E$1:E510)+1,0)</f>
        <v>0</v>
      </c>
      <c r="F511" s="1" t="str">
        <f ca="1">IFERROR(INDEX(TagData[],MATCH(ROWS(F$1:$G510),TagData[Search],0),4),"")</f>
        <v/>
      </c>
    </row>
    <row r="512" spans="1:6" x14ac:dyDescent="0.3">
      <c r="A512">
        <v>1277</v>
      </c>
      <c r="B512" s="1" t="s">
        <v>466</v>
      </c>
      <c r="C512" s="1" t="s">
        <v>467</v>
      </c>
      <c r="D512" s="1" t="str">
        <f>+TagData[[#This Row],[TagName]]&amp;"_"&amp;TagData[[#This Row],[Description]]</f>
        <v>HIC36405_Hand Cntrl Valve ByPass PV-36413</v>
      </c>
      <c r="E512" cm="1">
        <f t="array" aca="1" ref="E512" ca="1">IF(ISNUMBER(SEARCH(INDIRECT(CELL("address")),TagData[[#This Row],[Combined]])),MAX($E$1:E511)+1,0)</f>
        <v>0</v>
      </c>
      <c r="F512" s="1" t="str">
        <f ca="1">IFERROR(INDEX(TagData[],MATCH(ROWS(F$1:$G511),TagData[Search],0),4),"")</f>
        <v/>
      </c>
    </row>
    <row r="513" spans="1:6" x14ac:dyDescent="0.3">
      <c r="A513">
        <v>1276</v>
      </c>
      <c r="B513" s="1" t="s">
        <v>468</v>
      </c>
      <c r="C513" s="1" t="s">
        <v>469</v>
      </c>
      <c r="D513" s="1" t="str">
        <f>+TagData[[#This Row],[TagName]]&amp;"_"&amp;TagData[[#This Row],[Description]]</f>
        <v xml:space="preserve">HIC36418_ Hand control valve PHO to T37610 </v>
      </c>
      <c r="E513" cm="1">
        <f t="array" aca="1" ref="E513" ca="1">IF(ISNUMBER(SEARCH(INDIRECT(CELL("address")),TagData[[#This Row],[Combined]])),MAX($E$1:E512)+1,0)</f>
        <v>0</v>
      </c>
      <c r="F513" s="1" t="str">
        <f ca="1">IFERROR(INDEX(TagData[],MATCH(ROWS(F$1:$G512),TagData[Search],0),4),"")</f>
        <v/>
      </c>
    </row>
    <row r="514" spans="1:6" x14ac:dyDescent="0.3">
      <c r="A514">
        <v>1281</v>
      </c>
      <c r="B514" s="1" t="s">
        <v>470</v>
      </c>
      <c r="C514" s="1" t="s">
        <v>471</v>
      </c>
      <c r="D514" s="1" t="str">
        <f>+TagData[[#This Row],[TagName]]&amp;"_"&amp;TagData[[#This Row],[Description]]</f>
        <v>HIC36407_ Hand control valve NMP to B36401</v>
      </c>
      <c r="E514" cm="1">
        <f t="array" aca="1" ref="E514" ca="1">IF(ISNUMBER(SEARCH(INDIRECT(CELL("address")),TagData[[#This Row],[Combined]])),MAX($E$1:E513)+1,0)</f>
        <v>0</v>
      </c>
      <c r="F514" s="1" t="str">
        <f ca="1">IFERROR(INDEX(TagData[],MATCH(ROWS(F$1:$G513),TagData[Search],0),4),"")</f>
        <v/>
      </c>
    </row>
    <row r="515" spans="1:6" x14ac:dyDescent="0.3">
      <c r="A515">
        <v>1282</v>
      </c>
      <c r="B515" s="1" t="s">
        <v>468</v>
      </c>
      <c r="C515" s="1" t="s">
        <v>469</v>
      </c>
      <c r="D515" s="1" t="str">
        <f>+TagData[[#This Row],[TagName]]&amp;"_"&amp;TagData[[#This Row],[Description]]</f>
        <v xml:space="preserve">HIC36418_ Hand control valve PHO to T37610 </v>
      </c>
      <c r="E515" cm="1">
        <f t="array" aca="1" ref="E515" ca="1">IF(ISNUMBER(SEARCH(INDIRECT(CELL("address")),TagData[[#This Row],[Combined]])),MAX($E$1:E514)+1,0)</f>
        <v>0</v>
      </c>
      <c r="F515" s="1" t="str">
        <f ca="1">IFERROR(INDEX(TagData[],MATCH(ROWS(F$1:$G514),TagData[Search],0),4),"")</f>
        <v/>
      </c>
    </row>
    <row r="516" spans="1:6" x14ac:dyDescent="0.3">
      <c r="A516">
        <v>1287</v>
      </c>
      <c r="B516" s="1" t="s">
        <v>470</v>
      </c>
      <c r="C516" s="1" t="s">
        <v>471</v>
      </c>
      <c r="D516" s="1" t="str">
        <f>+TagData[[#This Row],[TagName]]&amp;"_"&amp;TagData[[#This Row],[Description]]</f>
        <v>HIC36407_ Hand control valve NMP to B36401</v>
      </c>
      <c r="E516" cm="1">
        <f t="array" aca="1" ref="E516" ca="1">IF(ISNUMBER(SEARCH(INDIRECT(CELL("address")),TagData[[#This Row],[Combined]])),MAX($E$1:E515)+1,0)</f>
        <v>0</v>
      </c>
      <c r="F516" s="1" t="str">
        <f ca="1">IFERROR(INDEX(TagData[],MATCH(ROWS(F$1:$G515),TagData[Search],0),4),"")</f>
        <v/>
      </c>
    </row>
    <row r="517" spans="1:6" x14ac:dyDescent="0.3">
      <c r="A517">
        <v>1286</v>
      </c>
      <c r="B517" s="1" t="s">
        <v>472</v>
      </c>
      <c r="C517" s="1" t="s">
        <v>473</v>
      </c>
      <c r="D517" s="1" t="str">
        <f>+TagData[[#This Row],[TagName]]&amp;"_"&amp;TagData[[#This Row],[Description]]</f>
        <v>HIC36437_Hand Control ByPass Valve PSE36401</v>
      </c>
      <c r="E517" cm="1">
        <f t="array" aca="1" ref="E517" ca="1">IF(ISNUMBER(SEARCH(INDIRECT(CELL("address")),TagData[[#This Row],[Combined]])),MAX($E$1:E516)+1,0)</f>
        <v>0</v>
      </c>
      <c r="F517" s="1" t="str">
        <f ca="1">IFERROR(INDEX(TagData[],MATCH(ROWS(F$1:$G516),TagData[Search],0),4),"")</f>
        <v/>
      </c>
    </row>
    <row r="518" spans="1:6" x14ac:dyDescent="0.3">
      <c r="A518">
        <v>1292</v>
      </c>
      <c r="B518" s="1" t="s">
        <v>472</v>
      </c>
      <c r="C518" s="1" t="s">
        <v>473</v>
      </c>
      <c r="D518" s="1" t="str">
        <f>+TagData[[#This Row],[TagName]]&amp;"_"&amp;TagData[[#This Row],[Description]]</f>
        <v>HIC36437_Hand Control ByPass Valve PSE36401</v>
      </c>
      <c r="E518" cm="1">
        <f t="array" aca="1" ref="E518" ca="1">IF(ISNUMBER(SEARCH(INDIRECT(CELL("address")),TagData[[#This Row],[Combined]])),MAX($E$1:E517)+1,0)</f>
        <v>0</v>
      </c>
      <c r="F518" s="1" t="str">
        <f ca="1">IFERROR(INDEX(TagData[],MATCH(ROWS(F$1:$G517),TagData[Search],0),4),"")</f>
        <v/>
      </c>
    </row>
    <row r="519" spans="1:6" x14ac:dyDescent="0.3">
      <c r="A519">
        <v>1291</v>
      </c>
      <c r="B519" s="1" t="s">
        <v>474</v>
      </c>
      <c r="C519" s="1" t="s">
        <v>475</v>
      </c>
      <c r="D519" s="1" t="str">
        <f>+TagData[[#This Row],[TagName]]&amp;"_"&amp;TagData[[#This Row],[Description]]</f>
        <v>HIC36518_ Hand Contrl Valve E36205 to T37610</v>
      </c>
      <c r="E519" cm="1">
        <f t="array" aca="1" ref="E519" ca="1">IF(ISNUMBER(SEARCH(INDIRECT(CELL("address")),TagData[[#This Row],[Combined]])),MAX($E$1:E518)+1,0)</f>
        <v>0</v>
      </c>
      <c r="F519" s="1" t="str">
        <f ca="1">IFERROR(INDEX(TagData[],MATCH(ROWS(F$1:$G518),TagData[Search],0),4),"")</f>
        <v/>
      </c>
    </row>
    <row r="520" spans="1:6" x14ac:dyDescent="0.3">
      <c r="A520">
        <v>1297</v>
      </c>
      <c r="B520" s="1" t="s">
        <v>474</v>
      </c>
      <c r="C520" s="1" t="s">
        <v>475</v>
      </c>
      <c r="D520" s="1" t="str">
        <f>+TagData[[#This Row],[TagName]]&amp;"_"&amp;TagData[[#This Row],[Description]]</f>
        <v>HIC36518_ Hand Contrl Valve E36205 to T37610</v>
      </c>
      <c r="E520" cm="1">
        <f t="array" aca="1" ref="E520" ca="1">IF(ISNUMBER(SEARCH(INDIRECT(CELL("address")),TagData[[#This Row],[Combined]])),MAX($E$1:E519)+1,0)</f>
        <v>0</v>
      </c>
      <c r="F520" s="1" t="str">
        <f ca="1">IFERROR(INDEX(TagData[],MATCH(ROWS(F$1:$G519),TagData[Search],0),4),"")</f>
        <v/>
      </c>
    </row>
    <row r="521" spans="1:6" x14ac:dyDescent="0.3">
      <c r="A521">
        <v>1296</v>
      </c>
      <c r="B521" s="1" t="s">
        <v>476</v>
      </c>
      <c r="C521" s="1" t="s">
        <v>477</v>
      </c>
      <c r="D521" s="1" t="str">
        <f>+TagData[[#This Row],[TagName]]&amp;"_"&amp;TagData[[#This Row],[Description]]</f>
        <v xml:space="preserve">HIC36536_Hand Cntrl Valve S36501.02toB36501 </v>
      </c>
      <c r="E521" cm="1">
        <f t="array" aca="1" ref="E521" ca="1">IF(ISNUMBER(SEARCH(INDIRECT(CELL("address")),TagData[[#This Row],[Combined]])),MAX($E$1:E520)+1,0)</f>
        <v>0</v>
      </c>
      <c r="F521" s="1" t="str">
        <f ca="1">IFERROR(INDEX(TagData[],MATCH(ROWS(F$1:$G520),TagData[Search],0),4),"")</f>
        <v/>
      </c>
    </row>
    <row r="522" spans="1:6" x14ac:dyDescent="0.3">
      <c r="A522">
        <v>1301</v>
      </c>
      <c r="B522" s="1" t="s">
        <v>478</v>
      </c>
      <c r="C522" s="1" t="s">
        <v>479</v>
      </c>
      <c r="D522" s="1" t="str">
        <f>+TagData[[#This Row],[TagName]]&amp;"_"&amp;TagData[[#This Row],[Description]]</f>
        <v>HIC36505_ Hand Control Valve by-pass HS36502</v>
      </c>
      <c r="E522" cm="1">
        <f t="array" aca="1" ref="E522" ca="1">IF(ISNUMBER(SEARCH(INDIRECT(CELL("address")),TagData[[#This Row],[Combined]])),MAX($E$1:E521)+1,0)</f>
        <v>0</v>
      </c>
      <c r="F522" s="1" t="str">
        <f ca="1">IFERROR(INDEX(TagData[],MATCH(ROWS(F$1:$G521),TagData[Search],0),4),"")</f>
        <v/>
      </c>
    </row>
    <row r="523" spans="1:6" x14ac:dyDescent="0.3">
      <c r="A523">
        <v>1302</v>
      </c>
      <c r="B523" s="1" t="s">
        <v>476</v>
      </c>
      <c r="C523" s="1" t="s">
        <v>477</v>
      </c>
      <c r="D523" s="1" t="str">
        <f>+TagData[[#This Row],[TagName]]&amp;"_"&amp;TagData[[#This Row],[Description]]</f>
        <v xml:space="preserve">HIC36536_Hand Cntrl Valve S36501.02toB36501 </v>
      </c>
      <c r="E523" cm="1">
        <f t="array" aca="1" ref="E523" ca="1">IF(ISNUMBER(SEARCH(INDIRECT(CELL("address")),TagData[[#This Row],[Combined]])),MAX($E$1:E522)+1,0)</f>
        <v>0</v>
      </c>
      <c r="F523" s="1" t="str">
        <f ca="1">IFERROR(INDEX(TagData[],MATCH(ROWS(F$1:$G522),TagData[Search],0),4),"")</f>
        <v/>
      </c>
    </row>
    <row r="524" spans="1:6" x14ac:dyDescent="0.3">
      <c r="A524">
        <v>1307</v>
      </c>
      <c r="B524" s="1" t="s">
        <v>478</v>
      </c>
      <c r="C524" s="1" t="s">
        <v>479</v>
      </c>
      <c r="D524" s="1" t="str">
        <f>+TagData[[#This Row],[TagName]]&amp;"_"&amp;TagData[[#This Row],[Description]]</f>
        <v>HIC36505_ Hand Control Valve by-pass HS36502</v>
      </c>
      <c r="E524" cm="1">
        <f t="array" aca="1" ref="E524" ca="1">IF(ISNUMBER(SEARCH(INDIRECT(CELL("address")),TagData[[#This Row],[Combined]])),MAX($E$1:E523)+1,0)</f>
        <v>0</v>
      </c>
      <c r="F524" s="1" t="str">
        <f ca="1">IFERROR(INDEX(TagData[],MATCH(ROWS(F$1:$G523),TagData[Search],0),4),"")</f>
        <v/>
      </c>
    </row>
    <row r="525" spans="1:6" x14ac:dyDescent="0.3">
      <c r="A525">
        <v>1306</v>
      </c>
      <c r="B525" s="1" t="s">
        <v>480</v>
      </c>
      <c r="C525" s="1" t="s">
        <v>481</v>
      </c>
      <c r="D525" s="1" t="str">
        <f>+TagData[[#This Row],[TagName]]&amp;"_"&amp;TagData[[#This Row],[Description]]</f>
        <v>HIC36537_Hand Bypassvalve RupDisc S36501.02</v>
      </c>
      <c r="E525" cm="1">
        <f t="array" aca="1" ref="E525" ca="1">IF(ISNUMBER(SEARCH(INDIRECT(CELL("address")),TagData[[#This Row],[Combined]])),MAX($E$1:E524)+1,0)</f>
        <v>0</v>
      </c>
      <c r="F525" s="1" t="str">
        <f ca="1">IFERROR(INDEX(TagData[],MATCH(ROWS(F$1:$G524),TagData[Search],0),4),"")</f>
        <v/>
      </c>
    </row>
    <row r="526" spans="1:6" x14ac:dyDescent="0.3">
      <c r="A526">
        <v>1311</v>
      </c>
      <c r="B526" s="1" t="s">
        <v>482</v>
      </c>
      <c r="C526" s="1" t="s">
        <v>483</v>
      </c>
      <c r="D526" s="1" t="str">
        <f>+TagData[[#This Row],[TagName]]&amp;"_"&amp;TagData[[#This Row],[Description]]</f>
        <v>HIC36507_ Hand Valve of NHP to B36501</v>
      </c>
      <c r="E526" cm="1">
        <f t="array" aca="1" ref="E526" ca="1">IF(ISNUMBER(SEARCH(INDIRECT(CELL("address")),TagData[[#This Row],[Combined]])),MAX($E$1:E525)+1,0)</f>
        <v>0</v>
      </c>
      <c r="F526" s="1" t="str">
        <f ca="1">IFERROR(INDEX(TagData[],MATCH(ROWS(F$1:$G525),TagData[Search],0),4),"")</f>
        <v/>
      </c>
    </row>
    <row r="527" spans="1:6" x14ac:dyDescent="0.3">
      <c r="A527">
        <v>1312</v>
      </c>
      <c r="B527" s="1" t="s">
        <v>480</v>
      </c>
      <c r="C527" s="1" t="s">
        <v>481</v>
      </c>
      <c r="D527" s="1" t="str">
        <f>+TagData[[#This Row],[TagName]]&amp;"_"&amp;TagData[[#This Row],[Description]]</f>
        <v>HIC36537_Hand Bypassvalve RupDisc S36501.02</v>
      </c>
      <c r="E527" cm="1">
        <f t="array" aca="1" ref="E527" ca="1">IF(ISNUMBER(SEARCH(INDIRECT(CELL("address")),TagData[[#This Row],[Combined]])),MAX($E$1:E526)+1,0)</f>
        <v>0</v>
      </c>
      <c r="F527" s="1" t="str">
        <f ca="1">IFERROR(INDEX(TagData[],MATCH(ROWS(F$1:$G526),TagData[Search],0),4),"")</f>
        <v/>
      </c>
    </row>
    <row r="528" spans="1:6" x14ac:dyDescent="0.3">
      <c r="A528">
        <v>1317</v>
      </c>
      <c r="B528" s="1" t="s">
        <v>482</v>
      </c>
      <c r="C528" s="1" t="s">
        <v>483</v>
      </c>
      <c r="D528" s="1" t="str">
        <f>+TagData[[#This Row],[TagName]]&amp;"_"&amp;TagData[[#This Row],[Description]]</f>
        <v>HIC36507_ Hand Valve of NHP to B36501</v>
      </c>
      <c r="E528" cm="1">
        <f t="array" aca="1" ref="E528" ca="1">IF(ISNUMBER(SEARCH(INDIRECT(CELL("address")),TagData[[#This Row],[Combined]])),MAX($E$1:E527)+1,0)</f>
        <v>0</v>
      </c>
      <c r="F528" s="1" t="str">
        <f ca="1">IFERROR(INDEX(TagData[],MATCH(ROWS(F$1:$G527),TagData[Search],0),4),"")</f>
        <v/>
      </c>
    </row>
    <row r="529" spans="1:6" x14ac:dyDescent="0.3">
      <c r="A529">
        <v>1316</v>
      </c>
      <c r="B529" s="1" t="s">
        <v>484</v>
      </c>
      <c r="C529" s="1" t="s">
        <v>485</v>
      </c>
      <c r="D529" s="1" t="str">
        <f>+TagData[[#This Row],[TagName]]&amp;"_"&amp;TagData[[#This Row],[Description]]</f>
        <v>KIC37144_ Control valve of P37102 O/L</v>
      </c>
      <c r="E529" cm="1">
        <f t="array" aca="1" ref="E529" ca="1">IF(ISNUMBER(SEARCH(INDIRECT(CELL("address")),TagData[[#This Row],[Combined]])),MAX($E$1:E528)+1,0)</f>
        <v>0</v>
      </c>
      <c r="F529" s="1" t="str">
        <f ca="1">IFERROR(INDEX(TagData[],MATCH(ROWS(F$1:$G528),TagData[Search],0),4),"")</f>
        <v/>
      </c>
    </row>
    <row r="530" spans="1:6" x14ac:dyDescent="0.3">
      <c r="A530">
        <v>1321</v>
      </c>
      <c r="B530" s="1" t="s">
        <v>102</v>
      </c>
      <c r="C530" s="1" t="s">
        <v>486</v>
      </c>
      <c r="D530" s="1" t="str">
        <f>+TagData[[#This Row],[TagName]]&amp;"_"&amp;TagData[[#This Row],[Description]]</f>
        <v>FIC37142_ Flow control bottom draw to C37101</v>
      </c>
      <c r="E530" cm="1">
        <f t="array" aca="1" ref="E530" ca="1">IF(ISNUMBER(SEARCH(INDIRECT(CELL("address")),TagData[[#This Row],[Combined]])),MAX($E$1:E529)+1,0)</f>
        <v>0</v>
      </c>
      <c r="F530" s="1" t="str">
        <f ca="1">IFERROR(INDEX(TagData[],MATCH(ROWS(F$1:$G529),TagData[Search],0),4),"")</f>
        <v/>
      </c>
    </row>
    <row r="531" spans="1:6" x14ac:dyDescent="0.3">
      <c r="A531">
        <v>1322</v>
      </c>
      <c r="B531" s="1" t="s">
        <v>484</v>
      </c>
      <c r="C531" s="1" t="s">
        <v>485</v>
      </c>
      <c r="D531" s="1" t="str">
        <f>+TagData[[#This Row],[TagName]]&amp;"_"&amp;TagData[[#This Row],[Description]]</f>
        <v>KIC37144_ Control valve of P37102 O/L</v>
      </c>
      <c r="E531" cm="1">
        <f t="array" aca="1" ref="E531" ca="1">IF(ISNUMBER(SEARCH(INDIRECT(CELL("address")),TagData[[#This Row],[Combined]])),MAX($E$1:E530)+1,0)</f>
        <v>0</v>
      </c>
      <c r="F531" s="1" t="str">
        <f ca="1">IFERROR(INDEX(TagData[],MATCH(ROWS(F$1:$G530),TagData[Search],0),4),"")</f>
        <v/>
      </c>
    </row>
    <row r="532" spans="1:6" x14ac:dyDescent="0.3">
      <c r="A532">
        <v>1327</v>
      </c>
      <c r="B532" s="1" t="s">
        <v>102</v>
      </c>
      <c r="C532" s="1" t="s">
        <v>486</v>
      </c>
      <c r="D532" s="1" t="str">
        <f>+TagData[[#This Row],[TagName]]&amp;"_"&amp;TagData[[#This Row],[Description]]</f>
        <v>FIC37142_ Flow control bottom draw to C37101</v>
      </c>
      <c r="E532" cm="1">
        <f t="array" aca="1" ref="E532" ca="1">IF(ISNUMBER(SEARCH(INDIRECT(CELL("address")),TagData[[#This Row],[Combined]])),MAX($E$1:E531)+1,0)</f>
        <v>0</v>
      </c>
      <c r="F532" s="1" t="str">
        <f ca="1">IFERROR(INDEX(TagData[],MATCH(ROWS(F$1:$G531),TagData[Search],0),4),"")</f>
        <v/>
      </c>
    </row>
    <row r="533" spans="1:6" x14ac:dyDescent="0.3">
      <c r="A533">
        <v>1326</v>
      </c>
      <c r="B533" s="1" t="s">
        <v>145</v>
      </c>
      <c r="C533" s="1" t="s">
        <v>487</v>
      </c>
      <c r="D533" s="1" t="str">
        <f>+TagData[[#This Row],[TagName]]&amp;"_"&amp;TagData[[#This Row],[Description]]</f>
        <v>TIC37169_ Temp Control For E37105 Bottom</v>
      </c>
      <c r="E533" cm="1">
        <f t="array" aca="1" ref="E533" ca="1">IF(ISNUMBER(SEARCH(INDIRECT(CELL("address")),TagData[[#This Row],[Combined]])),MAX($E$1:E532)+1,0)</f>
        <v>0</v>
      </c>
      <c r="F533" s="1" t="str">
        <f ca="1">IFERROR(INDEX(TagData[],MATCH(ROWS(F$1:$G532),TagData[Search],0),4),"")</f>
        <v/>
      </c>
    </row>
    <row r="534" spans="1:6" x14ac:dyDescent="0.3">
      <c r="A534">
        <v>1331</v>
      </c>
      <c r="B534" s="1" t="s">
        <v>488</v>
      </c>
      <c r="C534" s="1" t="s">
        <v>489</v>
      </c>
      <c r="D534" s="1" t="str">
        <f>+TagData[[#This Row],[TagName]]&amp;"_"&amp;TagData[[#This Row],[Description]]</f>
        <v>HIC37905_Hand Control valve NLP to B37901A/B</v>
      </c>
      <c r="E534" cm="1">
        <f t="array" aca="1" ref="E534" ca="1">IF(ISNUMBER(SEARCH(INDIRECT(CELL("address")),TagData[[#This Row],[Combined]])),MAX($E$1:E533)+1,0)</f>
        <v>0</v>
      </c>
      <c r="F534" s="1" t="str">
        <f ca="1">IFERROR(INDEX(TagData[],MATCH(ROWS(F$1:$G533),TagData[Search],0),4),"")</f>
        <v/>
      </c>
    </row>
    <row r="535" spans="1:6" x14ac:dyDescent="0.3">
      <c r="A535">
        <v>1332</v>
      </c>
      <c r="B535" s="1" t="s">
        <v>145</v>
      </c>
      <c r="C535" s="1" t="s">
        <v>487</v>
      </c>
      <c r="D535" s="1" t="str">
        <f>+TagData[[#This Row],[TagName]]&amp;"_"&amp;TagData[[#This Row],[Description]]</f>
        <v>TIC37169_ Temp Control For E37105 Bottom</v>
      </c>
      <c r="E535" cm="1">
        <f t="array" aca="1" ref="E535" ca="1">IF(ISNUMBER(SEARCH(INDIRECT(CELL("address")),TagData[[#This Row],[Combined]])),MAX($E$1:E534)+1,0)</f>
        <v>0</v>
      </c>
      <c r="F535" s="1" t="str">
        <f ca="1">IFERROR(INDEX(TagData[],MATCH(ROWS(F$1:$G534),TagData[Search],0),4),"")</f>
        <v/>
      </c>
    </row>
    <row r="536" spans="1:6" x14ac:dyDescent="0.3">
      <c r="A536">
        <v>1337</v>
      </c>
      <c r="B536" s="1" t="s">
        <v>488</v>
      </c>
      <c r="C536" s="1" t="s">
        <v>489</v>
      </c>
      <c r="D536" s="1" t="str">
        <f>+TagData[[#This Row],[TagName]]&amp;"_"&amp;TagData[[#This Row],[Description]]</f>
        <v>HIC37905_Hand Control valve NLP to B37901A/B</v>
      </c>
      <c r="E536" cm="1">
        <f t="array" aca="1" ref="E536" ca="1">IF(ISNUMBER(SEARCH(INDIRECT(CELL("address")),TagData[[#This Row],[Combined]])),MAX($E$1:E535)+1,0)</f>
        <v>0</v>
      </c>
      <c r="F536" s="1" t="str">
        <f ca="1">IFERROR(INDEX(TagData[],MATCH(ROWS(F$1:$G535),TagData[Search],0),4),"")</f>
        <v/>
      </c>
    </row>
    <row r="537" spans="1:6" x14ac:dyDescent="0.3">
      <c r="A537">
        <v>1336</v>
      </c>
      <c r="B537" s="1" t="s">
        <v>490</v>
      </c>
      <c r="C537" s="1" t="s">
        <v>491</v>
      </c>
      <c r="D537" s="1" t="str">
        <f>+TagData[[#This Row],[TagName]]&amp;"_"&amp;TagData[[#This Row],[Description]]</f>
        <v>HIC37925_Hand Control valve NLP to B37902A/B</v>
      </c>
      <c r="E537" cm="1">
        <f t="array" aca="1" ref="E537" ca="1">IF(ISNUMBER(SEARCH(INDIRECT(CELL("address")),TagData[[#This Row],[Combined]])),MAX($E$1:E536)+1,0)</f>
        <v>0</v>
      </c>
      <c r="F537" s="1" t="str">
        <f ca="1">IFERROR(INDEX(TagData[],MATCH(ROWS(F$1:$G536),TagData[Search],0),4),"")</f>
        <v/>
      </c>
    </row>
    <row r="538" spans="1:6" x14ac:dyDescent="0.3">
      <c r="A538">
        <v>1342</v>
      </c>
      <c r="B538" s="1" t="s">
        <v>490</v>
      </c>
      <c r="C538" s="1" t="s">
        <v>491</v>
      </c>
      <c r="D538" s="1" t="str">
        <f>+TagData[[#This Row],[TagName]]&amp;"_"&amp;TagData[[#This Row],[Description]]</f>
        <v>HIC37925_Hand Control valve NLP to B37902A/B</v>
      </c>
      <c r="E538" cm="1">
        <f t="array" aca="1" ref="E538" ca="1">IF(ISNUMBER(SEARCH(INDIRECT(CELL("address")),TagData[[#This Row],[Combined]])),MAX($E$1:E537)+1,0)</f>
        <v>0</v>
      </c>
      <c r="F538" s="1" t="str">
        <f ca="1">IFERROR(INDEX(TagData[],MATCH(ROWS(F$1:$G537),TagData[Search],0),4),"")</f>
        <v/>
      </c>
    </row>
    <row r="539" spans="1:6" x14ac:dyDescent="0.3">
      <c r="A539">
        <v>1341</v>
      </c>
      <c r="B539" s="1" t="s">
        <v>492</v>
      </c>
      <c r="C539" s="1" t="s">
        <v>493</v>
      </c>
      <c r="D539" s="1" t="str">
        <f>+TagData[[#This Row],[TagName]]&amp;"_"&amp;TagData[[#This Row],[Description]]</f>
        <v xml:space="preserve">HIC37945_ Hand Control NLP feed to Sec Col  </v>
      </c>
      <c r="E539" cm="1">
        <f t="array" aca="1" ref="E539" ca="1">IF(ISNUMBER(SEARCH(INDIRECT(CELL("address")),TagData[[#This Row],[Combined]])),MAX($E$1:E538)+1,0)</f>
        <v>0</v>
      </c>
      <c r="F539" s="1" t="str">
        <f ca="1">IFERROR(INDEX(TagData[],MATCH(ROWS(F$1:$G538),TagData[Search],0),4),"")</f>
        <v/>
      </c>
    </row>
    <row r="540" spans="1:6" x14ac:dyDescent="0.3">
      <c r="A540">
        <v>1347</v>
      </c>
      <c r="B540" s="1" t="s">
        <v>492</v>
      </c>
      <c r="C540" s="1" t="s">
        <v>493</v>
      </c>
      <c r="D540" s="1" t="str">
        <f>+TagData[[#This Row],[TagName]]&amp;"_"&amp;TagData[[#This Row],[Description]]</f>
        <v xml:space="preserve">HIC37945_ Hand Control NLP feed to Sec Col  </v>
      </c>
      <c r="E540" cm="1">
        <f t="array" aca="1" ref="E540" ca="1">IF(ISNUMBER(SEARCH(INDIRECT(CELL("address")),TagData[[#This Row],[Combined]])),MAX($E$1:E539)+1,0)</f>
        <v>0</v>
      </c>
      <c r="F540" s="1" t="str">
        <f ca="1">IFERROR(INDEX(TagData[],MATCH(ROWS(F$1:$G539),TagData[Search],0),4),"")</f>
        <v/>
      </c>
    </row>
    <row r="541" spans="1:6" x14ac:dyDescent="0.3">
      <c r="A541">
        <v>1346</v>
      </c>
      <c r="B541" s="1" t="s">
        <v>494</v>
      </c>
      <c r="C541" s="1" t="s">
        <v>495</v>
      </c>
      <c r="D541" s="1" t="str">
        <f>+TagData[[#This Row],[TagName]]&amp;"_"&amp;TagData[[#This Row],[Description]]</f>
        <v>HIC37965_Hand Control Valve NLP to B37904A/B</v>
      </c>
      <c r="E541" cm="1">
        <f t="array" aca="1" ref="E541" ca="1">IF(ISNUMBER(SEARCH(INDIRECT(CELL("address")),TagData[[#This Row],[Combined]])),MAX($E$1:E540)+1,0)</f>
        <v>0</v>
      </c>
      <c r="F541" s="1" t="str">
        <f ca="1">IFERROR(INDEX(TagData[],MATCH(ROWS(F$1:$G540),TagData[Search],0),4),"")</f>
        <v/>
      </c>
    </row>
    <row r="542" spans="1:6" x14ac:dyDescent="0.3">
      <c r="A542">
        <v>1352</v>
      </c>
      <c r="B542" s="1" t="s">
        <v>494</v>
      </c>
      <c r="C542" s="1" t="s">
        <v>495</v>
      </c>
      <c r="D542" s="1" t="str">
        <f>+TagData[[#This Row],[TagName]]&amp;"_"&amp;TagData[[#This Row],[Description]]</f>
        <v>HIC37965_Hand Control Valve NLP to B37904A/B</v>
      </c>
      <c r="E542" cm="1">
        <f t="array" aca="1" ref="E542" ca="1">IF(ISNUMBER(SEARCH(INDIRECT(CELL("address")),TagData[[#This Row],[Combined]])),MAX($E$1:E541)+1,0)</f>
        <v>0</v>
      </c>
      <c r="F542" s="1" t="str">
        <f ca="1">IFERROR(INDEX(TagData[],MATCH(ROWS(F$1:$G541),TagData[Search],0),4),"")</f>
        <v/>
      </c>
    </row>
    <row r="543" spans="1:6" x14ac:dyDescent="0.3">
      <c r="A543">
        <v>1351</v>
      </c>
      <c r="B543" s="1" t="s">
        <v>496</v>
      </c>
      <c r="C543" s="1" t="s">
        <v>497</v>
      </c>
      <c r="D543" s="1" t="str">
        <f>+TagData[[#This Row],[TagName]]&amp;"_"&amp;TagData[[#This Row],[Description]]</f>
        <v>PI71318_Pressure SHP Line 712003</v>
      </c>
      <c r="E543" cm="1">
        <f t="array" aca="1" ref="E543" ca="1">IF(ISNUMBER(SEARCH(INDIRECT(CELL("address")),TagData[[#This Row],[Combined]])),MAX($E$1:E542)+1,0)</f>
        <v>0</v>
      </c>
      <c r="F543" s="1" t="str">
        <f ca="1">IFERROR(INDEX(TagData[],MATCH(ROWS(F$1:$G542),TagData[Search],0),4),"")</f>
        <v/>
      </c>
    </row>
    <row r="544" spans="1:6" x14ac:dyDescent="0.3">
      <c r="A544">
        <v>1357</v>
      </c>
      <c r="B544" s="1" t="s">
        <v>496</v>
      </c>
      <c r="C544" s="1" t="s">
        <v>497</v>
      </c>
      <c r="D544" s="1" t="str">
        <f>+TagData[[#This Row],[TagName]]&amp;"_"&amp;TagData[[#This Row],[Description]]</f>
        <v>PI71318_Pressure SHP Line 712003</v>
      </c>
      <c r="E544" cm="1">
        <f t="array" aca="1" ref="E544" ca="1">IF(ISNUMBER(SEARCH(INDIRECT(CELL("address")),TagData[[#This Row],[Combined]])),MAX($E$1:E543)+1,0)</f>
        <v>0</v>
      </c>
      <c r="F544" s="1" t="str">
        <f ca="1">IFERROR(INDEX(TagData[],MATCH(ROWS(F$1:$G543),TagData[Search],0),4),"")</f>
        <v/>
      </c>
    </row>
    <row r="545" spans="1:6" x14ac:dyDescent="0.3">
      <c r="A545">
        <v>1356</v>
      </c>
      <c r="B545" s="1" t="s">
        <v>498</v>
      </c>
      <c r="C545" s="1" t="s">
        <v>499</v>
      </c>
      <c r="D545" s="1" t="str">
        <f>+TagData[[#This Row],[TagName]]&amp;"_"&amp;TagData[[#This Row],[Description]]</f>
        <v>TI71303_Temp of SMP on X71302A</v>
      </c>
      <c r="E545" cm="1">
        <f t="array" aca="1" ref="E545" ca="1">IF(ISNUMBER(SEARCH(INDIRECT(CELL("address")),TagData[[#This Row],[Combined]])),MAX($E$1:E544)+1,0)</f>
        <v>0</v>
      </c>
      <c r="F545" s="1" t="str">
        <f ca="1">IFERROR(INDEX(TagData[],MATCH(ROWS(F$1:$G544),TagData[Search],0),4),"")</f>
        <v/>
      </c>
    </row>
    <row r="546" spans="1:6" x14ac:dyDescent="0.3">
      <c r="A546">
        <v>1361</v>
      </c>
      <c r="B546" s="1" t="s">
        <v>500</v>
      </c>
      <c r="C546" s="1" t="s">
        <v>501</v>
      </c>
      <c r="D546" s="1" t="str">
        <f>+TagData[[#This Row],[TagName]]&amp;"_"&amp;TagData[[#This Row],[Description]]</f>
        <v>TI71301_Temp of SMP on X71302B</v>
      </c>
      <c r="E546" cm="1">
        <f t="array" aca="1" ref="E546" ca="1">IF(ISNUMBER(SEARCH(INDIRECT(CELL("address")),TagData[[#This Row],[Combined]])),MAX($E$1:E545)+1,0)</f>
        <v>0</v>
      </c>
      <c r="F546" s="1" t="str">
        <f ca="1">IFERROR(INDEX(TagData[],MATCH(ROWS(F$1:$G545),TagData[Search],0),4),"")</f>
        <v/>
      </c>
    </row>
    <row r="547" spans="1:6" x14ac:dyDescent="0.3">
      <c r="A547">
        <v>1362</v>
      </c>
      <c r="B547" s="1" t="s">
        <v>498</v>
      </c>
      <c r="C547" s="1" t="s">
        <v>499</v>
      </c>
      <c r="D547" s="1" t="str">
        <f>+TagData[[#This Row],[TagName]]&amp;"_"&amp;TagData[[#This Row],[Description]]</f>
        <v>TI71303_Temp of SMP on X71302A</v>
      </c>
      <c r="E547" cm="1">
        <f t="array" aca="1" ref="E547" ca="1">IF(ISNUMBER(SEARCH(INDIRECT(CELL("address")),TagData[[#This Row],[Combined]])),MAX($E$1:E546)+1,0)</f>
        <v>0</v>
      </c>
      <c r="F547" s="1" t="str">
        <f ca="1">IFERROR(INDEX(TagData[],MATCH(ROWS(F$1:$G546),TagData[Search],0),4),"")</f>
        <v/>
      </c>
    </row>
    <row r="548" spans="1:6" x14ac:dyDescent="0.3">
      <c r="A548">
        <v>1366</v>
      </c>
      <c r="B548" s="1" t="s">
        <v>502</v>
      </c>
      <c r="C548" s="1" t="s">
        <v>503</v>
      </c>
      <c r="D548" s="1" t="str">
        <f>+TagData[[#This Row],[TagName]]&amp;"_"&amp;TagData[[#This Row],[Description]]</f>
        <v>JI37212_Current of tar concentrator P37202A</v>
      </c>
      <c r="E548" cm="1">
        <f t="array" aca="1" ref="E548" ca="1">IF(ISNUMBER(SEARCH(INDIRECT(CELL("address")),TagData[[#This Row],[Combined]])),MAX($E$1:E547)+1,0)</f>
        <v>0</v>
      </c>
      <c r="F548" s="1" t="str">
        <f ca="1">IFERROR(INDEX(TagData[],MATCH(ROWS(F$1:$G547),TagData[Search],0),4),"")</f>
        <v/>
      </c>
    </row>
    <row r="549" spans="1:6" x14ac:dyDescent="0.3">
      <c r="A549">
        <v>1367</v>
      </c>
      <c r="B549" s="1" t="s">
        <v>500</v>
      </c>
      <c r="C549" s="1" t="s">
        <v>501</v>
      </c>
      <c r="D549" s="1" t="str">
        <f>+TagData[[#This Row],[TagName]]&amp;"_"&amp;TagData[[#This Row],[Description]]</f>
        <v>TI71301_Temp of SMP on X71302B</v>
      </c>
      <c r="E549" cm="1">
        <f t="array" aca="1" ref="E549" ca="1">IF(ISNUMBER(SEARCH(INDIRECT(CELL("address")),TagData[[#This Row],[Combined]])),MAX($E$1:E548)+1,0)</f>
        <v>0</v>
      </c>
      <c r="F549" s="1" t="str">
        <f ca="1">IFERROR(INDEX(TagData[],MATCH(ROWS(F$1:$G548),TagData[Search],0),4),"")</f>
        <v/>
      </c>
    </row>
    <row r="550" spans="1:6" x14ac:dyDescent="0.3">
      <c r="A550">
        <v>1372</v>
      </c>
      <c r="B550" s="1" t="s">
        <v>502</v>
      </c>
      <c r="C550" s="1" t="s">
        <v>503</v>
      </c>
      <c r="D550" s="1" t="str">
        <f>+TagData[[#This Row],[TagName]]&amp;"_"&amp;TagData[[#This Row],[Description]]</f>
        <v>JI37212_Current of tar concentrator P37202A</v>
      </c>
      <c r="E550" cm="1">
        <f t="array" aca="1" ref="E550" ca="1">IF(ISNUMBER(SEARCH(INDIRECT(CELL("address")),TagData[[#This Row],[Combined]])),MAX($E$1:E549)+1,0)</f>
        <v>0</v>
      </c>
      <c r="F550" s="1" t="str">
        <f ca="1">IFERROR(INDEX(TagData[],MATCH(ROWS(F$1:$G549),TagData[Search],0),4),"")</f>
        <v/>
      </c>
    </row>
    <row r="551" spans="1:6" x14ac:dyDescent="0.3">
      <c r="A551">
        <v>1371</v>
      </c>
      <c r="B551" s="1" t="s">
        <v>504</v>
      </c>
      <c r="C551" s="1" t="s">
        <v>505</v>
      </c>
      <c r="D551" s="1" t="str">
        <f>+TagData[[#This Row],[TagName]]&amp;"_"&amp;TagData[[#This Row],[Description]]</f>
        <v>JI37213_Current of tar concentrator P37202B</v>
      </c>
      <c r="E551" cm="1">
        <f t="array" aca="1" ref="E551" ca="1">IF(ISNUMBER(SEARCH(INDIRECT(CELL("address")),TagData[[#This Row],[Combined]])),MAX($E$1:E550)+1,0)</f>
        <v>0</v>
      </c>
      <c r="F551" s="1" t="str">
        <f ca="1">IFERROR(INDEX(TagData[],MATCH(ROWS(F$1:$G550),TagData[Search],0),4),"")</f>
        <v/>
      </c>
    </row>
    <row r="552" spans="1:6" x14ac:dyDescent="0.3">
      <c r="A552">
        <v>1377</v>
      </c>
      <c r="B552" s="1" t="s">
        <v>504</v>
      </c>
      <c r="C552" s="1" t="s">
        <v>505</v>
      </c>
      <c r="D552" s="1" t="str">
        <f>+TagData[[#This Row],[TagName]]&amp;"_"&amp;TagData[[#This Row],[Description]]</f>
        <v>JI37213_Current of tar concentrator P37202B</v>
      </c>
      <c r="E552" cm="1">
        <f t="array" aca="1" ref="E552" ca="1">IF(ISNUMBER(SEARCH(INDIRECT(CELL("address")),TagData[[#This Row],[Combined]])),MAX($E$1:E551)+1,0)</f>
        <v>0</v>
      </c>
      <c r="F552" s="1" t="str">
        <f ca="1">IFERROR(INDEX(TagData[],MATCH(ROWS(F$1:$G551),TagData[Search],0),4),"")</f>
        <v/>
      </c>
    </row>
    <row r="553" spans="1:6" x14ac:dyDescent="0.3">
      <c r="A553">
        <v>1376</v>
      </c>
      <c r="B553" s="1" t="s">
        <v>506</v>
      </c>
      <c r="C553" s="1" t="s">
        <v>507</v>
      </c>
      <c r="D553" s="1" t="str">
        <f>+TagData[[#This Row],[TagName]]&amp;"_"&amp;TagData[[#This Row],[Description]]</f>
        <v>TI37216_Temp of tar concentrator P37202B</v>
      </c>
      <c r="E553" cm="1">
        <f t="array" aca="1" ref="E553" ca="1">IF(ISNUMBER(SEARCH(INDIRECT(CELL("address")),TagData[[#This Row],[Combined]])),MAX($E$1:E552)+1,0)</f>
        <v>0</v>
      </c>
      <c r="F553" s="1" t="str">
        <f ca="1">IFERROR(INDEX(TagData[],MATCH(ROWS(F$1:$G552),TagData[Search],0),4),"")</f>
        <v/>
      </c>
    </row>
    <row r="554" spans="1:6" x14ac:dyDescent="0.3">
      <c r="A554">
        <v>1382</v>
      </c>
      <c r="B554" s="1" t="s">
        <v>506</v>
      </c>
      <c r="C554" s="1" t="s">
        <v>507</v>
      </c>
      <c r="D554" s="1" t="str">
        <f>+TagData[[#This Row],[TagName]]&amp;"_"&amp;TagData[[#This Row],[Description]]</f>
        <v>TI37216_Temp of tar concentrator P37202B</v>
      </c>
      <c r="E554" cm="1">
        <f t="array" aca="1" ref="E554" ca="1">IF(ISNUMBER(SEARCH(INDIRECT(CELL("address")),TagData[[#This Row],[Combined]])),MAX($E$1:E553)+1,0)</f>
        <v>0</v>
      </c>
      <c r="F554" s="1" t="str">
        <f ca="1">IFERROR(INDEX(TagData[],MATCH(ROWS(F$1:$G553),TagData[Search],0),4),"")</f>
        <v/>
      </c>
    </row>
    <row r="555" spans="1:6" x14ac:dyDescent="0.3">
      <c r="A555">
        <v>1381</v>
      </c>
      <c r="B555" s="1" t="s">
        <v>508</v>
      </c>
      <c r="C555" s="1" t="s">
        <v>509</v>
      </c>
      <c r="D555" s="1" t="str">
        <f>+TagData[[#This Row],[TagName]]&amp;"_"&amp;TagData[[#This Row],[Description]]</f>
        <v>VI374003_Viscosity of FT374003</v>
      </c>
      <c r="E555" cm="1">
        <f t="array" aca="1" ref="E555" ca="1">IF(ISNUMBER(SEARCH(INDIRECT(CELL("address")),TagData[[#This Row],[Combined]])),MAX($E$1:E554)+1,0)</f>
        <v>0</v>
      </c>
      <c r="F555" s="1" t="str">
        <f ca="1">IFERROR(INDEX(TagData[],MATCH(ROWS(F$1:$G554),TagData[Search],0),4),"")</f>
        <v/>
      </c>
    </row>
    <row r="556" spans="1:6" x14ac:dyDescent="0.3">
      <c r="A556">
        <v>1386</v>
      </c>
      <c r="B556" s="1" t="s">
        <v>510</v>
      </c>
      <c r="C556" s="1" t="s">
        <v>511</v>
      </c>
      <c r="D556" s="1" t="str">
        <f>+TagData[[#This Row],[TagName]]&amp;"_"&amp;TagData[[#This Row],[Description]]</f>
        <v>TI37206_Temp of Reboiler E37203A O\L</v>
      </c>
      <c r="E556" cm="1">
        <f t="array" aca="1" ref="E556" ca="1">IF(ISNUMBER(SEARCH(INDIRECT(CELL("address")),TagData[[#This Row],[Combined]])),MAX($E$1:E555)+1,0)</f>
        <v>0</v>
      </c>
      <c r="F556" s="1" t="str">
        <f ca="1">IFERROR(INDEX(TagData[],MATCH(ROWS(F$1:$G555),TagData[Search],0),4),"")</f>
        <v/>
      </c>
    </row>
    <row r="557" spans="1:6" x14ac:dyDescent="0.3">
      <c r="A557">
        <v>1387</v>
      </c>
      <c r="B557" s="1" t="s">
        <v>508</v>
      </c>
      <c r="C557" s="1" t="s">
        <v>509</v>
      </c>
      <c r="D557" s="1" t="str">
        <f>+TagData[[#This Row],[TagName]]&amp;"_"&amp;TagData[[#This Row],[Description]]</f>
        <v>VI374003_Viscosity of FT374003</v>
      </c>
      <c r="E557" cm="1">
        <f t="array" aca="1" ref="E557" ca="1">IF(ISNUMBER(SEARCH(INDIRECT(CELL("address")),TagData[[#This Row],[Combined]])),MAX($E$1:E556)+1,0)</f>
        <v>0</v>
      </c>
      <c r="F557" s="1" t="str">
        <f ca="1">IFERROR(INDEX(TagData[],MATCH(ROWS(F$1:$G556),TagData[Search],0),4),"")</f>
        <v/>
      </c>
    </row>
    <row r="558" spans="1:6" x14ac:dyDescent="0.3">
      <c r="A558">
        <v>1392</v>
      </c>
      <c r="B558" s="1" t="s">
        <v>510</v>
      </c>
      <c r="C558" s="1" t="s">
        <v>511</v>
      </c>
      <c r="D558" s="1" t="str">
        <f>+TagData[[#This Row],[TagName]]&amp;"_"&amp;TagData[[#This Row],[Description]]</f>
        <v>TI37206_Temp of Reboiler E37203A O\L</v>
      </c>
      <c r="E558" cm="1">
        <f t="array" aca="1" ref="E558" ca="1">IF(ISNUMBER(SEARCH(INDIRECT(CELL("address")),TagData[[#This Row],[Combined]])),MAX($E$1:E557)+1,0)</f>
        <v>0</v>
      </c>
      <c r="F558" s="1" t="str">
        <f ca="1">IFERROR(INDEX(TagData[],MATCH(ROWS(F$1:$G557),TagData[Search],0),4),"")</f>
        <v/>
      </c>
    </row>
    <row r="559" spans="1:6" x14ac:dyDescent="0.3">
      <c r="A559">
        <v>1391</v>
      </c>
      <c r="B559" s="1" t="s">
        <v>512</v>
      </c>
      <c r="C559" s="1" t="s">
        <v>513</v>
      </c>
      <c r="D559" s="1" t="str">
        <f>+TagData[[#This Row],[TagName]]&amp;"_"&amp;TagData[[#This Row],[Description]]</f>
        <v>TI37207_Temp of Reboiler E37203B O\L</v>
      </c>
      <c r="E559" cm="1">
        <f t="array" aca="1" ref="E559" ca="1">IF(ISNUMBER(SEARCH(INDIRECT(CELL("address")),TagData[[#This Row],[Combined]])),MAX($E$1:E558)+1,0)</f>
        <v>0</v>
      </c>
      <c r="F559" s="1" t="str">
        <f ca="1">IFERROR(INDEX(TagData[],MATCH(ROWS(F$1:$G558),TagData[Search],0),4),"")</f>
        <v/>
      </c>
    </row>
    <row r="560" spans="1:6" x14ac:dyDescent="0.3">
      <c r="A560">
        <v>1396</v>
      </c>
      <c r="B560" s="1" t="s">
        <v>514</v>
      </c>
      <c r="C560" s="1" t="s">
        <v>515</v>
      </c>
      <c r="D560" s="1" t="str">
        <f>+TagData[[#This Row],[TagName]]&amp;"_"&amp;TagData[[#This Row],[Description]]</f>
        <v>FIC37201_Flow control of SMP to E37203A/B</v>
      </c>
      <c r="E560" cm="1">
        <f t="array" aca="1" ref="E560" ca="1">IF(ISNUMBER(SEARCH(INDIRECT(CELL("address")),TagData[[#This Row],[Combined]])),MAX($E$1:E559)+1,0)</f>
        <v>0</v>
      </c>
      <c r="F560" s="1" t="str">
        <f ca="1">IFERROR(INDEX(TagData[],MATCH(ROWS(F$1:$G559),TagData[Search],0),4),"")</f>
        <v/>
      </c>
    </row>
    <row r="561" spans="1:6" x14ac:dyDescent="0.3">
      <c r="A561">
        <v>1397</v>
      </c>
      <c r="B561" s="1" t="s">
        <v>512</v>
      </c>
      <c r="C561" s="1" t="s">
        <v>513</v>
      </c>
      <c r="D561" s="1" t="str">
        <f>+TagData[[#This Row],[TagName]]&amp;"_"&amp;TagData[[#This Row],[Description]]</f>
        <v>TI37207_Temp of Reboiler E37203B O\L</v>
      </c>
      <c r="E561" cm="1">
        <f t="array" aca="1" ref="E561" ca="1">IF(ISNUMBER(SEARCH(INDIRECT(CELL("address")),TagData[[#This Row],[Combined]])),MAX($E$1:E560)+1,0)</f>
        <v>0</v>
      </c>
      <c r="F561" s="1" t="str">
        <f ca="1">IFERROR(INDEX(TagData[],MATCH(ROWS(F$1:$G560),TagData[Search],0),4),"")</f>
        <v/>
      </c>
    </row>
    <row r="562" spans="1:6" x14ac:dyDescent="0.3">
      <c r="A562">
        <v>1402</v>
      </c>
      <c r="B562" s="1" t="s">
        <v>514</v>
      </c>
      <c r="C562" s="1" t="s">
        <v>515</v>
      </c>
      <c r="D562" s="1" t="str">
        <f>+TagData[[#This Row],[TagName]]&amp;"_"&amp;TagData[[#This Row],[Description]]</f>
        <v>FIC37201_Flow control of SMP to E37203A/B</v>
      </c>
      <c r="E562" cm="1">
        <f t="array" aca="1" ref="E562" ca="1">IF(ISNUMBER(SEARCH(INDIRECT(CELL("address")),TagData[[#This Row],[Combined]])),MAX($E$1:E561)+1,0)</f>
        <v>0</v>
      </c>
      <c r="F562" s="1" t="str">
        <f ca="1">IFERROR(INDEX(TagData[],MATCH(ROWS(F$1:$G561),TagData[Search],0),4),"")</f>
        <v/>
      </c>
    </row>
    <row r="563" spans="1:6" x14ac:dyDescent="0.3">
      <c r="A563">
        <v>1401</v>
      </c>
      <c r="B563" s="1" t="s">
        <v>516</v>
      </c>
      <c r="C563" s="1" t="s">
        <v>517</v>
      </c>
      <c r="D563" s="1" t="str">
        <f>+TagData[[#This Row],[TagName]]&amp;"_"&amp;TagData[[#This Row],[Description]]</f>
        <v>PI37202_Pressure of SMP to E37203A/B</v>
      </c>
      <c r="E563" cm="1">
        <f t="array" aca="1" ref="E563" ca="1">IF(ISNUMBER(SEARCH(INDIRECT(CELL("address")),TagData[[#This Row],[Combined]])),MAX($E$1:E562)+1,0)</f>
        <v>0</v>
      </c>
      <c r="F563" s="1" t="str">
        <f ca="1">IFERROR(INDEX(TagData[],MATCH(ROWS(F$1:$G562),TagData[Search],0),4),"")</f>
        <v/>
      </c>
    </row>
    <row r="564" spans="1:6" x14ac:dyDescent="0.3">
      <c r="A564">
        <v>1406</v>
      </c>
      <c r="B564" s="1" t="s">
        <v>518</v>
      </c>
      <c r="C564" s="1" t="s">
        <v>519</v>
      </c>
      <c r="D564" s="1" t="str">
        <f>+TagData[[#This Row],[TagName]]&amp;"_"&amp;TagData[[#This Row],[Description]]</f>
        <v>LIC37232_Level of Drying Column C35401</v>
      </c>
      <c r="E564" cm="1">
        <f t="array" aca="1" ref="E564" ca="1">IF(ISNUMBER(SEARCH(INDIRECT(CELL("address")),TagData[[#This Row],[Combined]])),MAX($E$1:E563)+1,0)</f>
        <v>0</v>
      </c>
      <c r="F564" s="1" t="str">
        <f ca="1">IFERROR(INDEX(TagData[],MATCH(ROWS(F$1:$G563),TagData[Search],0),4),"")</f>
        <v/>
      </c>
    </row>
    <row r="565" spans="1:6" x14ac:dyDescent="0.3">
      <c r="A565">
        <v>1407</v>
      </c>
      <c r="B565" s="1" t="s">
        <v>516</v>
      </c>
      <c r="C565" s="1" t="s">
        <v>517</v>
      </c>
      <c r="D565" s="1" t="str">
        <f>+TagData[[#This Row],[TagName]]&amp;"_"&amp;TagData[[#This Row],[Description]]</f>
        <v>PI37202_Pressure of SMP to E37203A/B</v>
      </c>
      <c r="E565" cm="1">
        <f t="array" aca="1" ref="E565" ca="1">IF(ISNUMBER(SEARCH(INDIRECT(CELL("address")),TagData[[#This Row],[Combined]])),MAX($E$1:E564)+1,0)</f>
        <v>0</v>
      </c>
      <c r="F565" s="1" t="str">
        <f ca="1">IFERROR(INDEX(TagData[],MATCH(ROWS(F$1:$G564),TagData[Search],0),4),"")</f>
        <v/>
      </c>
    </row>
    <row r="566" spans="1:6" x14ac:dyDescent="0.3">
      <c r="A566">
        <v>1412</v>
      </c>
      <c r="B566" s="1" t="s">
        <v>518</v>
      </c>
      <c r="C566" s="1" t="s">
        <v>519</v>
      </c>
      <c r="D566" s="1" t="str">
        <f>+TagData[[#This Row],[TagName]]&amp;"_"&amp;TagData[[#This Row],[Description]]</f>
        <v>LIC37232_Level of Drying Column C35401</v>
      </c>
      <c r="E566" cm="1">
        <f t="array" aca="1" ref="E566" ca="1">IF(ISNUMBER(SEARCH(INDIRECT(CELL("address")),TagData[[#This Row],[Combined]])),MAX($E$1:E565)+1,0)</f>
        <v>0</v>
      </c>
      <c r="F566" s="1" t="str">
        <f ca="1">IFERROR(INDEX(TagData[],MATCH(ROWS(F$1:$G565),TagData[Search],0),4),"")</f>
        <v/>
      </c>
    </row>
    <row r="567" spans="1:6" x14ac:dyDescent="0.3">
      <c r="A567">
        <v>1411</v>
      </c>
      <c r="B567" s="1" t="s">
        <v>520</v>
      </c>
      <c r="C567" s="1" t="s">
        <v>521</v>
      </c>
      <c r="D567" s="1" t="str">
        <f>+TagData[[#This Row],[TagName]]&amp;"_"&amp;TagData[[#This Row],[Description]]</f>
        <v>TI37237_Temp of C37201 bottom O/L</v>
      </c>
      <c r="E567" cm="1">
        <f t="array" aca="1" ref="E567" ca="1">IF(ISNUMBER(SEARCH(INDIRECT(CELL("address")),TagData[[#This Row],[Combined]])),MAX($E$1:E566)+1,0)</f>
        <v>0</v>
      </c>
      <c r="F567" s="1" t="str">
        <f ca="1">IFERROR(INDEX(TagData[],MATCH(ROWS(F$1:$G566),TagData[Search],0),4),"")</f>
        <v/>
      </c>
    </row>
    <row r="568" spans="1:6" x14ac:dyDescent="0.3">
      <c r="A568">
        <v>1416</v>
      </c>
      <c r="B568" s="1" t="s">
        <v>522</v>
      </c>
      <c r="C568" s="1" t="s">
        <v>523</v>
      </c>
      <c r="D568" s="1" t="str">
        <f>+TagData[[#This Row],[TagName]]&amp;"_"&amp;TagData[[#This Row],[Description]]</f>
        <v>PIC37230_pressure of Tar Concentrator C37201</v>
      </c>
      <c r="E568" cm="1">
        <f t="array" aca="1" ref="E568" ca="1">IF(ISNUMBER(SEARCH(INDIRECT(CELL("address")),TagData[[#This Row],[Combined]])),MAX($E$1:E567)+1,0)</f>
        <v>0</v>
      </c>
      <c r="F568" s="1" t="str">
        <f ca="1">IFERROR(INDEX(TagData[],MATCH(ROWS(F$1:$G567),TagData[Search],0),4),"")</f>
        <v/>
      </c>
    </row>
    <row r="569" spans="1:6" x14ac:dyDescent="0.3">
      <c r="A569">
        <v>1417</v>
      </c>
      <c r="B569" s="1" t="s">
        <v>520</v>
      </c>
      <c r="C569" s="1" t="s">
        <v>521</v>
      </c>
      <c r="D569" s="1" t="str">
        <f>+TagData[[#This Row],[TagName]]&amp;"_"&amp;TagData[[#This Row],[Description]]</f>
        <v>TI37237_Temp of C37201 bottom O/L</v>
      </c>
      <c r="E569" cm="1">
        <f t="array" aca="1" ref="E569" ca="1">IF(ISNUMBER(SEARCH(INDIRECT(CELL("address")),TagData[[#This Row],[Combined]])),MAX($E$1:E568)+1,0)</f>
        <v>0</v>
      </c>
      <c r="F569" s="1" t="str">
        <f ca="1">IFERROR(INDEX(TagData[],MATCH(ROWS(F$1:$G568),TagData[Search],0),4),"")</f>
        <v/>
      </c>
    </row>
    <row r="570" spans="1:6" x14ac:dyDescent="0.3">
      <c r="A570">
        <v>1422</v>
      </c>
      <c r="B570" s="1" t="s">
        <v>522</v>
      </c>
      <c r="C570" s="1" t="s">
        <v>523</v>
      </c>
      <c r="D570" s="1" t="str">
        <f>+TagData[[#This Row],[TagName]]&amp;"_"&amp;TagData[[#This Row],[Description]]</f>
        <v>PIC37230_pressure of Tar Concentrator C37201</v>
      </c>
      <c r="E570" cm="1">
        <f t="array" aca="1" ref="E570" ca="1">IF(ISNUMBER(SEARCH(INDIRECT(CELL("address")),TagData[[#This Row],[Combined]])),MAX($E$1:E569)+1,0)</f>
        <v>0</v>
      </c>
      <c r="F570" s="1" t="str">
        <f ca="1">IFERROR(INDEX(TagData[],MATCH(ROWS(F$1:$G569),TagData[Search],0),4),"")</f>
        <v/>
      </c>
    </row>
    <row r="571" spans="1:6" x14ac:dyDescent="0.3">
      <c r="A571">
        <v>1421</v>
      </c>
      <c r="B571" s="1" t="s">
        <v>522</v>
      </c>
      <c r="C571" s="1" t="s">
        <v>524</v>
      </c>
      <c r="D571" s="1" t="str">
        <f>+TagData[[#This Row],[TagName]]&amp;"_"&amp;TagData[[#This Row],[Description]]</f>
        <v>PIC37230_pressure of Tar Concentrator C37201_1</v>
      </c>
      <c r="E571" cm="1">
        <f t="array" aca="1" ref="E571" ca="1">IF(ISNUMBER(SEARCH(INDIRECT(CELL("address")),TagData[[#This Row],[Combined]])),MAX($E$1:E570)+1,0)</f>
        <v>0</v>
      </c>
      <c r="F571" s="1" t="str">
        <f ca="1">IFERROR(INDEX(TagData[],MATCH(ROWS(F$1:$G570),TagData[Search],0),4),"")</f>
        <v/>
      </c>
    </row>
    <row r="572" spans="1:6" x14ac:dyDescent="0.3">
      <c r="A572">
        <v>1427</v>
      </c>
      <c r="B572" s="1" t="s">
        <v>522</v>
      </c>
      <c r="C572" s="1" t="s">
        <v>524</v>
      </c>
      <c r="D572" s="1" t="str">
        <f>+TagData[[#This Row],[TagName]]&amp;"_"&amp;TagData[[#This Row],[Description]]</f>
        <v>PIC37230_pressure of Tar Concentrator C37201_1</v>
      </c>
      <c r="E572" cm="1">
        <f t="array" aca="1" ref="E572" ca="1">IF(ISNUMBER(SEARCH(INDIRECT(CELL("address")),TagData[[#This Row],[Combined]])),MAX($E$1:E571)+1,0)</f>
        <v>0</v>
      </c>
      <c r="F572" s="1" t="str">
        <f ca="1">IFERROR(INDEX(TagData[],MATCH(ROWS(F$1:$G571),TagData[Search],0),4),"")</f>
        <v/>
      </c>
    </row>
    <row r="573" spans="1:6" x14ac:dyDescent="0.3">
      <c r="A573">
        <v>1426</v>
      </c>
      <c r="B573" s="1" t="s">
        <v>525</v>
      </c>
      <c r="C573" s="1" t="s">
        <v>526</v>
      </c>
      <c r="D573" s="1" t="str">
        <f>+TagData[[#This Row],[TagName]]&amp;"_"&amp;TagData[[#This Row],[Description]]</f>
        <v>PIC37231_pressure control on top C37201</v>
      </c>
      <c r="E573" cm="1">
        <f t="array" aca="1" ref="E573" ca="1">IF(ISNUMBER(SEARCH(INDIRECT(CELL("address")),TagData[[#This Row],[Combined]])),MAX($E$1:E572)+1,0)</f>
        <v>0</v>
      </c>
      <c r="F573" s="1" t="str">
        <f ca="1">IFERROR(INDEX(TagData[],MATCH(ROWS(F$1:$G572),TagData[Search],0),4),"")</f>
        <v/>
      </c>
    </row>
    <row r="574" spans="1:6" x14ac:dyDescent="0.3">
      <c r="A574">
        <v>1432</v>
      </c>
      <c r="B574" s="1" t="s">
        <v>525</v>
      </c>
      <c r="C574" s="1" t="s">
        <v>526</v>
      </c>
      <c r="D574" s="1" t="str">
        <f>+TagData[[#This Row],[TagName]]&amp;"_"&amp;TagData[[#This Row],[Description]]</f>
        <v>PIC37231_pressure control on top C37201</v>
      </c>
      <c r="E574" cm="1">
        <f t="array" aca="1" ref="E574" ca="1">IF(ISNUMBER(SEARCH(INDIRECT(CELL("address")),TagData[[#This Row],[Combined]])),MAX($E$1:E573)+1,0)</f>
        <v>0</v>
      </c>
      <c r="F574" s="1" t="str">
        <f ca="1">IFERROR(INDEX(TagData[],MATCH(ROWS(F$1:$G573),TagData[Search],0),4),"")</f>
        <v/>
      </c>
    </row>
    <row r="575" spans="1:6" x14ac:dyDescent="0.3">
      <c r="A575">
        <v>1431</v>
      </c>
      <c r="B575" s="1" t="s">
        <v>525</v>
      </c>
      <c r="C575" s="1" t="s">
        <v>527</v>
      </c>
      <c r="D575" s="1" t="str">
        <f>+TagData[[#This Row],[TagName]]&amp;"_"&amp;TagData[[#This Row],[Description]]</f>
        <v>PIC37231_pressure control on top C37201_1</v>
      </c>
      <c r="E575" cm="1">
        <f t="array" aca="1" ref="E575" ca="1">IF(ISNUMBER(SEARCH(INDIRECT(CELL("address")),TagData[[#This Row],[Combined]])),MAX($E$1:E574)+1,0)</f>
        <v>0</v>
      </c>
      <c r="F575" s="1" t="str">
        <f ca="1">IFERROR(INDEX(TagData[],MATCH(ROWS(F$1:$G574),TagData[Search],0),4),"")</f>
        <v/>
      </c>
    </row>
    <row r="576" spans="1:6" x14ac:dyDescent="0.3">
      <c r="A576">
        <v>1436</v>
      </c>
      <c r="B576" s="1" t="s">
        <v>528</v>
      </c>
      <c r="C576" s="1" t="s">
        <v>529</v>
      </c>
      <c r="D576" s="1" t="str">
        <f>+TagData[[#This Row],[TagName]]&amp;"_"&amp;TagData[[#This Row],[Description]]</f>
        <v>PI37248_pressure on top C37201</v>
      </c>
      <c r="E576" cm="1">
        <f t="array" aca="1" ref="E576" ca="1">IF(ISNUMBER(SEARCH(INDIRECT(CELL("address")),TagData[[#This Row],[Combined]])),MAX($E$1:E575)+1,0)</f>
        <v>0</v>
      </c>
      <c r="F576" s="1" t="str">
        <f ca="1">IFERROR(INDEX(TagData[],MATCH(ROWS(F$1:$G575),TagData[Search],0),4),"")</f>
        <v/>
      </c>
    </row>
    <row r="577" spans="1:6" x14ac:dyDescent="0.3">
      <c r="A577">
        <v>1437</v>
      </c>
      <c r="B577" s="1" t="s">
        <v>525</v>
      </c>
      <c r="C577" s="1" t="s">
        <v>527</v>
      </c>
      <c r="D577" s="1" t="str">
        <f>+TagData[[#This Row],[TagName]]&amp;"_"&amp;TagData[[#This Row],[Description]]</f>
        <v>PIC37231_pressure control on top C37201_1</v>
      </c>
      <c r="E577" cm="1">
        <f t="array" aca="1" ref="E577" ca="1">IF(ISNUMBER(SEARCH(INDIRECT(CELL("address")),TagData[[#This Row],[Combined]])),MAX($E$1:E576)+1,0)</f>
        <v>0</v>
      </c>
      <c r="F577" s="1" t="str">
        <f ca="1">IFERROR(INDEX(TagData[],MATCH(ROWS(F$1:$G576),TagData[Search],0),4),"")</f>
        <v/>
      </c>
    </row>
    <row r="578" spans="1:6" x14ac:dyDescent="0.3">
      <c r="A578">
        <v>1441</v>
      </c>
      <c r="B578" s="1" t="s">
        <v>530</v>
      </c>
      <c r="C578" s="1" t="s">
        <v>531</v>
      </c>
      <c r="D578" s="1" t="str">
        <f>+TagData[[#This Row],[TagName]]&amp;"_"&amp;TagData[[#This Row],[Description]]</f>
        <v>FI37255_Flow from P37202 to C37501</v>
      </c>
      <c r="E578" cm="1">
        <f t="array" aca="1" ref="E578" ca="1">IF(ISNUMBER(SEARCH(INDIRECT(CELL("address")),TagData[[#This Row],[Combined]])),MAX($E$1:E577)+1,0)</f>
        <v>0</v>
      </c>
      <c r="F578" s="1" t="str">
        <f ca="1">IFERROR(INDEX(TagData[],MATCH(ROWS(F$1:$G577),TagData[Search],0),4),"")</f>
        <v/>
      </c>
    </row>
    <row r="579" spans="1:6" x14ac:dyDescent="0.3">
      <c r="A579">
        <v>1442</v>
      </c>
      <c r="B579" s="1" t="s">
        <v>528</v>
      </c>
      <c r="C579" s="1" t="s">
        <v>529</v>
      </c>
      <c r="D579" s="1" t="str">
        <f>+TagData[[#This Row],[TagName]]&amp;"_"&amp;TagData[[#This Row],[Description]]</f>
        <v>PI37248_pressure on top C37201</v>
      </c>
      <c r="E579" cm="1">
        <f t="array" aca="1" ref="E579" ca="1">IF(ISNUMBER(SEARCH(INDIRECT(CELL("address")),TagData[[#This Row],[Combined]])),MAX($E$1:E578)+1,0)</f>
        <v>0</v>
      </c>
      <c r="F579" s="1" t="str">
        <f ca="1">IFERROR(INDEX(TagData[],MATCH(ROWS(F$1:$G578),TagData[Search],0),4),"")</f>
        <v/>
      </c>
    </row>
    <row r="580" spans="1:6" x14ac:dyDescent="0.3">
      <c r="A580">
        <v>1447</v>
      </c>
      <c r="B580" s="1" t="s">
        <v>530</v>
      </c>
      <c r="C580" s="1" t="s">
        <v>531</v>
      </c>
      <c r="D580" s="1" t="str">
        <f>+TagData[[#This Row],[TagName]]&amp;"_"&amp;TagData[[#This Row],[Description]]</f>
        <v>FI37255_Flow from P37202 to C37501</v>
      </c>
      <c r="E580" cm="1">
        <f t="array" aca="1" ref="E580" ca="1">IF(ISNUMBER(SEARCH(INDIRECT(CELL("address")),TagData[[#This Row],[Combined]])),MAX($E$1:E579)+1,0)</f>
        <v>0</v>
      </c>
      <c r="F580" s="1" t="str">
        <f ca="1">IFERROR(INDEX(TagData[],MATCH(ROWS(F$1:$G579),TagData[Search],0),4),"")</f>
        <v/>
      </c>
    </row>
    <row r="581" spans="1:6" x14ac:dyDescent="0.3">
      <c r="A581">
        <v>1446</v>
      </c>
      <c r="B581" s="1" t="s">
        <v>532</v>
      </c>
      <c r="C581" s="1" t="s">
        <v>533</v>
      </c>
      <c r="D581" s="1" t="str">
        <f>+TagData[[#This Row],[TagName]]&amp;"_"&amp;TagData[[#This Row],[Description]]</f>
        <v>LI38009_Level of Steel Heel tank T38001</v>
      </c>
      <c r="E581" cm="1">
        <f t="array" aca="1" ref="E581" ca="1">IF(ISNUMBER(SEARCH(INDIRECT(CELL("address")),TagData[[#This Row],[Combined]])),MAX($E$1:E580)+1,0)</f>
        <v>0</v>
      </c>
      <c r="F581" s="1" t="str">
        <f ca="1">IFERROR(INDEX(TagData[],MATCH(ROWS(F$1:$G580),TagData[Search],0),4),"")</f>
        <v/>
      </c>
    </row>
    <row r="582" spans="1:6" x14ac:dyDescent="0.3">
      <c r="A582">
        <v>1452</v>
      </c>
      <c r="B582" s="1" t="s">
        <v>532</v>
      </c>
      <c r="C582" s="1" t="s">
        <v>533</v>
      </c>
      <c r="D582" s="1" t="str">
        <f>+TagData[[#This Row],[TagName]]&amp;"_"&amp;TagData[[#This Row],[Description]]</f>
        <v>LI38009_Level of Steel Heel tank T38001</v>
      </c>
      <c r="E582" cm="1">
        <f t="array" aca="1" ref="E582" ca="1">IF(ISNUMBER(SEARCH(INDIRECT(CELL("address")),TagData[[#This Row],[Combined]])),MAX($E$1:E581)+1,0)</f>
        <v>0</v>
      </c>
      <c r="F582" s="1" t="str">
        <f ca="1">IFERROR(INDEX(TagData[],MATCH(ROWS(F$1:$G581),TagData[Search],0),4),"")</f>
        <v/>
      </c>
    </row>
    <row r="583" spans="1:6" x14ac:dyDescent="0.3">
      <c r="A583">
        <v>1451</v>
      </c>
      <c r="B583" s="1" t="s">
        <v>534</v>
      </c>
      <c r="C583" s="1" t="s">
        <v>535</v>
      </c>
      <c r="D583" s="1" t="str">
        <f>+TagData[[#This Row],[TagName]]&amp;"_"&amp;TagData[[#This Row],[Description]]</f>
        <v>LI38015_Level of Steel Heel tank T38002</v>
      </c>
      <c r="E583" cm="1">
        <f t="array" aca="1" ref="E583" ca="1">IF(ISNUMBER(SEARCH(INDIRECT(CELL("address")),TagData[[#This Row],[Combined]])),MAX($E$1:E582)+1,0)</f>
        <v>0</v>
      </c>
      <c r="F583" s="1" t="str">
        <f ca="1">IFERROR(INDEX(TagData[],MATCH(ROWS(F$1:$G582),TagData[Search],0),4),"")</f>
        <v/>
      </c>
    </row>
    <row r="584" spans="1:6" x14ac:dyDescent="0.3">
      <c r="A584">
        <v>1457</v>
      </c>
      <c r="B584" s="1" t="s">
        <v>534</v>
      </c>
      <c r="C584" s="1" t="s">
        <v>535</v>
      </c>
      <c r="D584" s="1" t="str">
        <f>+TagData[[#This Row],[TagName]]&amp;"_"&amp;TagData[[#This Row],[Description]]</f>
        <v>LI38015_Level of Steel Heel tank T38002</v>
      </c>
      <c r="E584" cm="1">
        <f t="array" aca="1" ref="E584" ca="1">IF(ISNUMBER(SEARCH(INDIRECT(CELL("address")),TagData[[#This Row],[Combined]])),MAX($E$1:E583)+1,0)</f>
        <v>0</v>
      </c>
      <c r="F584" s="1" t="str">
        <f ca="1">IFERROR(INDEX(TagData[],MATCH(ROWS(F$1:$G583),TagData[Search],0),4),"")</f>
        <v/>
      </c>
    </row>
    <row r="585" spans="1:6" x14ac:dyDescent="0.3">
      <c r="A585">
        <v>1456</v>
      </c>
      <c r="B585" s="1" t="s">
        <v>536</v>
      </c>
      <c r="C585" s="1" t="s">
        <v>537</v>
      </c>
      <c r="D585" s="1" t="str">
        <f>+TagData[[#This Row],[TagName]]&amp;"_"&amp;TagData[[#This Row],[Description]]</f>
        <v>LI38024_Level General Purpose Tank T38011</v>
      </c>
      <c r="E585" cm="1">
        <f t="array" aca="1" ref="E585" ca="1">IF(ISNUMBER(SEARCH(INDIRECT(CELL("address")),TagData[[#This Row],[Combined]])),MAX($E$1:E584)+1,0)</f>
        <v>0</v>
      </c>
      <c r="F585" s="1" t="str">
        <f ca="1">IFERROR(INDEX(TagData[],MATCH(ROWS(F$1:$G584),TagData[Search],0),4),"")</f>
        <v/>
      </c>
    </row>
    <row r="586" spans="1:6" x14ac:dyDescent="0.3">
      <c r="A586">
        <v>1462</v>
      </c>
      <c r="B586" s="1" t="s">
        <v>536</v>
      </c>
      <c r="C586" s="1" t="s">
        <v>537</v>
      </c>
      <c r="D586" s="1" t="str">
        <f>+TagData[[#This Row],[TagName]]&amp;"_"&amp;TagData[[#This Row],[Description]]</f>
        <v>LI38024_Level General Purpose Tank T38011</v>
      </c>
      <c r="E586" cm="1">
        <f t="array" aca="1" ref="E586" ca="1">IF(ISNUMBER(SEARCH(INDIRECT(CELL("address")),TagData[[#This Row],[Combined]])),MAX($E$1:E585)+1,0)</f>
        <v>0</v>
      </c>
      <c r="F586" s="1" t="str">
        <f ca="1">IFERROR(INDEX(TagData[],MATCH(ROWS(F$1:$G585),TagData[Search],0),4),"")</f>
        <v/>
      </c>
    </row>
    <row r="587" spans="1:6" x14ac:dyDescent="0.3">
      <c r="A587">
        <v>1461</v>
      </c>
      <c r="B587" s="1" t="s">
        <v>538</v>
      </c>
      <c r="C587" s="1" t="s">
        <v>539</v>
      </c>
      <c r="D587" s="1" t="str">
        <f>+TagData[[#This Row],[TagName]]&amp;"_"&amp;TagData[[#This Row],[Description]]</f>
        <v>LI38025_Level General Purpose Tank T38012</v>
      </c>
      <c r="E587" cm="1">
        <f t="array" aca="1" ref="E587" ca="1">IF(ISNUMBER(SEARCH(INDIRECT(CELL("address")),TagData[[#This Row],[Combined]])),MAX($E$1:E586)+1,0)</f>
        <v>0</v>
      </c>
      <c r="F587" s="1" t="str">
        <f ca="1">IFERROR(INDEX(TagData[],MATCH(ROWS(F$1:$G586),TagData[Search],0),4),"")</f>
        <v/>
      </c>
    </row>
    <row r="588" spans="1:6" x14ac:dyDescent="0.3">
      <c r="A588">
        <v>1466</v>
      </c>
      <c r="B588" s="1" t="s">
        <v>540</v>
      </c>
      <c r="C588" s="1" t="s">
        <v>541</v>
      </c>
      <c r="D588" s="1" t="str">
        <f>+TagData[[#This Row],[TagName]]&amp;"_"&amp;TagData[[#This Row],[Description]]</f>
        <v>FIC38014_Flow Of TDI-ODCB From P38003A/B</v>
      </c>
      <c r="E588" cm="1">
        <f t="array" aca="1" ref="E588" ca="1">IF(ISNUMBER(SEARCH(INDIRECT(CELL("address")),TagData[[#This Row],[Combined]])),MAX($E$1:E587)+1,0)</f>
        <v>0</v>
      </c>
      <c r="F588" s="1" t="str">
        <f ca="1">IFERROR(INDEX(TagData[],MATCH(ROWS(F$1:$G587),TagData[Search],0),4),"")</f>
        <v/>
      </c>
    </row>
    <row r="589" spans="1:6" x14ac:dyDescent="0.3">
      <c r="A589">
        <v>1467</v>
      </c>
      <c r="B589" s="1" t="s">
        <v>538</v>
      </c>
      <c r="C589" s="1" t="s">
        <v>539</v>
      </c>
      <c r="D589" s="1" t="str">
        <f>+TagData[[#This Row],[TagName]]&amp;"_"&amp;TagData[[#This Row],[Description]]</f>
        <v>LI38025_Level General Purpose Tank T38012</v>
      </c>
      <c r="E589" cm="1">
        <f t="array" aca="1" ref="E589" ca="1">IF(ISNUMBER(SEARCH(INDIRECT(CELL("address")),TagData[[#This Row],[Combined]])),MAX($E$1:E588)+1,0)</f>
        <v>0</v>
      </c>
      <c r="F589" s="1" t="str">
        <f ca="1">IFERROR(INDEX(TagData[],MATCH(ROWS(F$1:$G588),TagData[Search],0),4),"")</f>
        <v/>
      </c>
    </row>
    <row r="590" spans="1:6" x14ac:dyDescent="0.3">
      <c r="A590">
        <v>1472</v>
      </c>
      <c r="B590" s="1" t="s">
        <v>540</v>
      </c>
      <c r="C590" s="1" t="s">
        <v>541</v>
      </c>
      <c r="D590" s="1" t="str">
        <f>+TagData[[#This Row],[TagName]]&amp;"_"&amp;TagData[[#This Row],[Description]]</f>
        <v>FIC38014_Flow Of TDI-ODCB From P38003A/B</v>
      </c>
      <c r="E590" cm="1">
        <f t="array" aca="1" ref="E590" ca="1">IF(ISNUMBER(SEARCH(INDIRECT(CELL("address")),TagData[[#This Row],[Combined]])),MAX($E$1:E589)+1,0)</f>
        <v>0</v>
      </c>
      <c r="F590" s="1" t="str">
        <f ca="1">IFERROR(INDEX(TagData[],MATCH(ROWS(F$1:$G589),TagData[Search],0),4),"")</f>
        <v/>
      </c>
    </row>
    <row r="591" spans="1:6" x14ac:dyDescent="0.3">
      <c r="A591">
        <v>1471</v>
      </c>
      <c r="B591" s="1" t="s">
        <v>540</v>
      </c>
      <c r="C591" s="1" t="s">
        <v>542</v>
      </c>
      <c r="D591" s="1" t="str">
        <f>+TagData[[#This Row],[TagName]]&amp;"_"&amp;TagData[[#This Row],[Description]]</f>
        <v>FIC38014_Flow Of TDI-ODCB From P38003A/B_1</v>
      </c>
      <c r="E591" cm="1">
        <f t="array" aca="1" ref="E591" ca="1">IF(ISNUMBER(SEARCH(INDIRECT(CELL("address")),TagData[[#This Row],[Combined]])),MAX($E$1:E590)+1,0)</f>
        <v>0</v>
      </c>
      <c r="F591" s="1" t="str">
        <f ca="1">IFERROR(INDEX(TagData[],MATCH(ROWS(F$1:$G590),TagData[Search],0),4),"")</f>
        <v/>
      </c>
    </row>
    <row r="592" spans="1:6" x14ac:dyDescent="0.3">
      <c r="A592">
        <v>1477</v>
      </c>
      <c r="B592" s="1" t="s">
        <v>540</v>
      </c>
      <c r="C592" s="1" t="s">
        <v>542</v>
      </c>
      <c r="D592" s="1" t="str">
        <f>+TagData[[#This Row],[TagName]]&amp;"_"&amp;TagData[[#This Row],[Description]]</f>
        <v>FIC38014_Flow Of TDI-ODCB From P38003A/B_1</v>
      </c>
      <c r="E592" cm="1">
        <f t="array" aca="1" ref="E592" ca="1">IF(ISNUMBER(SEARCH(INDIRECT(CELL("address")),TagData[[#This Row],[Combined]])),MAX($E$1:E591)+1,0)</f>
        <v>0</v>
      </c>
      <c r="F592" s="1" t="str">
        <f ca="1">IFERROR(INDEX(TagData[],MATCH(ROWS(F$1:$G591),TagData[Search],0),4),"")</f>
        <v/>
      </c>
    </row>
    <row r="593" spans="1:6" x14ac:dyDescent="0.3">
      <c r="A593">
        <v>1476</v>
      </c>
      <c r="B593" s="1" t="s">
        <v>543</v>
      </c>
      <c r="C593" s="1" t="s">
        <v>544</v>
      </c>
      <c r="D593" s="1" t="str">
        <f>+TagData[[#This Row],[TagName]]&amp;"_"&amp;TagData[[#This Row],[Description]]</f>
        <v>FIC38029_Flow Of GPT to C37101</v>
      </c>
      <c r="E593" cm="1">
        <f t="array" aca="1" ref="E593" ca="1">IF(ISNUMBER(SEARCH(INDIRECT(CELL("address")),TagData[[#This Row],[Combined]])),MAX($E$1:E592)+1,0)</f>
        <v>0</v>
      </c>
      <c r="F593" s="1" t="str">
        <f ca="1">IFERROR(INDEX(TagData[],MATCH(ROWS(F$1:$G592),TagData[Search],0),4),"")</f>
        <v/>
      </c>
    </row>
    <row r="594" spans="1:6" x14ac:dyDescent="0.3">
      <c r="A594">
        <v>1482</v>
      </c>
      <c r="B594" s="1" t="s">
        <v>543</v>
      </c>
      <c r="C594" s="1" t="s">
        <v>544</v>
      </c>
      <c r="D594" s="1" t="str">
        <f>+TagData[[#This Row],[TagName]]&amp;"_"&amp;TagData[[#This Row],[Description]]</f>
        <v>FIC38029_Flow Of GPT to C37101</v>
      </c>
      <c r="E594" cm="1">
        <f t="array" aca="1" ref="E594" ca="1">IF(ISNUMBER(SEARCH(INDIRECT(CELL("address")),TagData[[#This Row],[Combined]])),MAX($E$1:E593)+1,0)</f>
        <v>0</v>
      </c>
      <c r="F594" s="1" t="str">
        <f ca="1">IFERROR(INDEX(TagData[],MATCH(ROWS(F$1:$G593),TagData[Search],0),4),"")</f>
        <v/>
      </c>
    </row>
    <row r="595" spans="1:6" x14ac:dyDescent="0.3">
      <c r="A595">
        <v>1481</v>
      </c>
      <c r="B595" s="1" t="s">
        <v>543</v>
      </c>
      <c r="C595" s="1" t="s">
        <v>545</v>
      </c>
      <c r="D595" s="1" t="str">
        <f>+TagData[[#This Row],[TagName]]&amp;"_"&amp;TagData[[#This Row],[Description]]</f>
        <v>FIC38029_Flow Of GPT to C37101_1</v>
      </c>
      <c r="E595" cm="1">
        <f t="array" aca="1" ref="E595" ca="1">IF(ISNUMBER(SEARCH(INDIRECT(CELL("address")),TagData[[#This Row],[Combined]])),MAX($E$1:E594)+1,0)</f>
        <v>0</v>
      </c>
      <c r="F595" s="1" t="str">
        <f ca="1">IFERROR(INDEX(TagData[],MATCH(ROWS(F$1:$G594),TagData[Search],0),4),"")</f>
        <v/>
      </c>
    </row>
    <row r="596" spans="1:6" x14ac:dyDescent="0.3">
      <c r="A596">
        <v>1487</v>
      </c>
      <c r="B596" s="1" t="s">
        <v>543</v>
      </c>
      <c r="C596" s="1" t="s">
        <v>545</v>
      </c>
      <c r="D596" s="1" t="str">
        <f>+TagData[[#This Row],[TagName]]&amp;"_"&amp;TagData[[#This Row],[Description]]</f>
        <v>FIC38029_Flow Of GPT to C37101_1</v>
      </c>
      <c r="E596" cm="1">
        <f t="array" aca="1" ref="E596" ca="1">IF(ISNUMBER(SEARCH(INDIRECT(CELL("address")),TagData[[#This Row],[Combined]])),MAX($E$1:E595)+1,0)</f>
        <v>0</v>
      </c>
      <c r="F596" s="1" t="str">
        <f ca="1">IFERROR(INDEX(TagData[],MATCH(ROWS(F$1:$G595),TagData[Search],0),4),"")</f>
        <v/>
      </c>
    </row>
    <row r="597" spans="1:6" x14ac:dyDescent="0.3">
      <c r="A597">
        <v>1486</v>
      </c>
      <c r="B597" s="1" t="s">
        <v>546</v>
      </c>
      <c r="C597" s="1" t="s">
        <v>547</v>
      </c>
      <c r="D597" s="1" t="str">
        <f>+TagData[[#This Row],[TagName]]&amp;"_"&amp;TagData[[#This Row],[Description]]</f>
        <v>UI36118_Flow Sum Phos/2 ODCB</v>
      </c>
      <c r="E597" cm="1">
        <f t="array" aca="1" ref="E597" ca="1">IF(ISNUMBER(SEARCH(INDIRECT(CELL("address")),TagData[[#This Row],[Combined]])),MAX($E$1:E596)+1,0)</f>
        <v>0</v>
      </c>
      <c r="F597" s="1" t="str">
        <f ca="1">IFERROR(INDEX(TagData[],MATCH(ROWS(F$1:$G596),TagData[Search],0),4),"")</f>
        <v/>
      </c>
    </row>
    <row r="598" spans="1:6" x14ac:dyDescent="0.3">
      <c r="A598">
        <v>1492</v>
      </c>
      <c r="B598" s="1" t="s">
        <v>546</v>
      </c>
      <c r="C598" s="1" t="s">
        <v>547</v>
      </c>
      <c r="D598" s="1" t="str">
        <f>+TagData[[#This Row],[TagName]]&amp;"_"&amp;TagData[[#This Row],[Description]]</f>
        <v>UI36118_Flow Sum Phos/2 ODCB</v>
      </c>
      <c r="E598" cm="1">
        <f t="array" aca="1" ref="E598" ca="1">IF(ISNUMBER(SEARCH(INDIRECT(CELL("address")),TagData[[#This Row],[Combined]])),MAX($E$1:E597)+1,0)</f>
        <v>0</v>
      </c>
      <c r="F598" s="1" t="str">
        <f ca="1">IFERROR(INDEX(TagData[],MATCH(ROWS(F$1:$G597),TagData[Search],0),4),"")</f>
        <v/>
      </c>
    </row>
    <row r="599" spans="1:6" x14ac:dyDescent="0.3">
      <c r="A599">
        <v>1491</v>
      </c>
      <c r="B599" s="1" t="s">
        <v>548</v>
      </c>
      <c r="C599" s="1" t="s">
        <v>549</v>
      </c>
      <c r="D599" s="1" t="str">
        <f>+TagData[[#This Row],[TagName]]&amp;"_"&amp;TagData[[#This Row],[Description]]</f>
        <v>UI36119_Phosgene Concentration</v>
      </c>
      <c r="E599" cm="1">
        <f t="array" aca="1" ref="E599" ca="1">IF(ISNUMBER(SEARCH(INDIRECT(CELL("address")),TagData[[#This Row],[Combined]])),MAX($E$1:E598)+1,0)</f>
        <v>0</v>
      </c>
      <c r="F599" s="1" t="str">
        <f ca="1">IFERROR(INDEX(TagData[],MATCH(ROWS(F$1:$G598),TagData[Search],0),4),"")</f>
        <v/>
      </c>
    </row>
    <row r="600" spans="1:6" x14ac:dyDescent="0.3">
      <c r="A600">
        <v>1496</v>
      </c>
      <c r="B600" s="1" t="s">
        <v>550</v>
      </c>
      <c r="C600" s="1" t="s">
        <v>551</v>
      </c>
      <c r="D600" s="1" t="str">
        <f>+TagData[[#This Row],[TagName]]&amp;"_"&amp;TagData[[#This Row],[Description]]</f>
        <v>JI35429B_Current of Drying Reboiler Pump P35402B</v>
      </c>
      <c r="E600" cm="1">
        <f t="array" aca="1" ref="E600" ca="1">IF(ISNUMBER(SEARCH(INDIRECT(CELL("address")),TagData[[#This Row],[Combined]])),MAX($E$1:E599)+1,0)</f>
        <v>0</v>
      </c>
      <c r="F600" s="1" t="str">
        <f ca="1">IFERROR(INDEX(TagData[],MATCH(ROWS(F$1:$G599),TagData[Search],0),4),"")</f>
        <v/>
      </c>
    </row>
    <row r="601" spans="1:6" x14ac:dyDescent="0.3">
      <c r="A601">
        <v>1497</v>
      </c>
      <c r="B601" s="1" t="s">
        <v>548</v>
      </c>
      <c r="C601" s="1" t="s">
        <v>549</v>
      </c>
      <c r="D601" s="1" t="str">
        <f>+TagData[[#This Row],[TagName]]&amp;"_"&amp;TagData[[#This Row],[Description]]</f>
        <v>UI36119_Phosgene Concentration</v>
      </c>
      <c r="E601" cm="1">
        <f t="array" aca="1" ref="E601" ca="1">IF(ISNUMBER(SEARCH(INDIRECT(CELL("address")),TagData[[#This Row],[Combined]])),MAX($E$1:E600)+1,0)</f>
        <v>0</v>
      </c>
      <c r="F601" s="1" t="str">
        <f ca="1">IFERROR(INDEX(TagData[],MATCH(ROWS(F$1:$G600),TagData[Search],0),4),"")</f>
        <v/>
      </c>
    </row>
    <row r="602" spans="1:6" x14ac:dyDescent="0.3">
      <c r="A602">
        <v>1502</v>
      </c>
      <c r="B602" s="1" t="s">
        <v>550</v>
      </c>
      <c r="C602" s="1" t="s">
        <v>551</v>
      </c>
      <c r="D602" s="1" t="str">
        <f>+TagData[[#This Row],[TagName]]&amp;"_"&amp;TagData[[#This Row],[Description]]</f>
        <v>JI35429B_Current of Drying Reboiler Pump P35402B</v>
      </c>
      <c r="E602" cm="1">
        <f t="array" aca="1" ref="E602" ca="1">IF(ISNUMBER(SEARCH(INDIRECT(CELL("address")),TagData[[#This Row],[Combined]])),MAX($E$1:E601)+1,0)</f>
        <v>0</v>
      </c>
      <c r="F602" s="1" t="str">
        <f ca="1">IFERROR(INDEX(TagData[],MATCH(ROWS(F$1:$G601),TagData[Search],0),4),"")</f>
        <v/>
      </c>
    </row>
    <row r="603" spans="1:6" x14ac:dyDescent="0.3">
      <c r="A603">
        <v>1501</v>
      </c>
      <c r="B603" s="1" t="s">
        <v>552</v>
      </c>
      <c r="C603" s="1" t="s">
        <v>553</v>
      </c>
      <c r="D603" s="1" t="str">
        <f>+TagData[[#This Row],[TagName]]&amp;"_"&amp;TagData[[#This Row],[Description]]</f>
        <v>TI36284_Temp of Reboiler Pump P36206B</v>
      </c>
      <c r="E603" cm="1">
        <f t="array" aca="1" ref="E603" ca="1">IF(ISNUMBER(SEARCH(INDIRECT(CELL("address")),TagData[[#This Row],[Combined]])),MAX($E$1:E602)+1,0)</f>
        <v>0</v>
      </c>
      <c r="F603" s="1" t="str">
        <f ca="1">IFERROR(INDEX(TagData[],MATCH(ROWS(F$1:$G602),TagData[Search],0),4),"")</f>
        <v/>
      </c>
    </row>
    <row r="604" spans="1:6" x14ac:dyDescent="0.3">
      <c r="A604">
        <v>1506</v>
      </c>
      <c r="B604" s="1" t="s">
        <v>554</v>
      </c>
      <c r="C604" s="1" t="s">
        <v>555</v>
      </c>
      <c r="D604" s="1" t="str">
        <f>+TagData[[#This Row],[TagName]]&amp;"_"&amp;TagData[[#This Row],[Description]]</f>
        <v>JI36625B_Current of TDI Catch Tank Pump P36624B</v>
      </c>
      <c r="E604" cm="1">
        <f t="array" aca="1" ref="E604" ca="1">IF(ISNUMBER(SEARCH(INDIRECT(CELL("address")),TagData[[#This Row],[Combined]])),MAX($E$1:E603)+1,0)</f>
        <v>0</v>
      </c>
      <c r="F604" s="1" t="str">
        <f ca="1">IFERROR(INDEX(TagData[],MATCH(ROWS(F$1:$G603),TagData[Search],0),4),"")</f>
        <v/>
      </c>
    </row>
    <row r="605" spans="1:6" x14ac:dyDescent="0.3">
      <c r="A605">
        <v>1507</v>
      </c>
      <c r="B605" s="1" t="s">
        <v>552</v>
      </c>
      <c r="C605" s="1" t="s">
        <v>553</v>
      </c>
      <c r="D605" s="1" t="str">
        <f>+TagData[[#This Row],[TagName]]&amp;"_"&amp;TagData[[#This Row],[Description]]</f>
        <v>TI36284_Temp of Reboiler Pump P36206B</v>
      </c>
      <c r="E605" cm="1">
        <f t="array" aca="1" ref="E605" ca="1">IF(ISNUMBER(SEARCH(INDIRECT(CELL("address")),TagData[[#This Row],[Combined]])),MAX($E$1:E604)+1,0)</f>
        <v>0</v>
      </c>
      <c r="F605" s="1" t="str">
        <f ca="1">IFERROR(INDEX(TagData[],MATCH(ROWS(F$1:$G604),TagData[Search],0),4),"")</f>
        <v/>
      </c>
    </row>
    <row r="606" spans="1:6" x14ac:dyDescent="0.3">
      <c r="A606">
        <v>1512</v>
      </c>
      <c r="B606" s="1" t="s">
        <v>554</v>
      </c>
      <c r="C606" s="1" t="s">
        <v>555</v>
      </c>
      <c r="D606" s="1" t="str">
        <f>+TagData[[#This Row],[TagName]]&amp;"_"&amp;TagData[[#This Row],[Description]]</f>
        <v>JI36625B_Current of TDI Catch Tank Pump P36624B</v>
      </c>
      <c r="E606" cm="1">
        <f t="array" aca="1" ref="E606" ca="1">IF(ISNUMBER(SEARCH(INDIRECT(CELL("address")),TagData[[#This Row],[Combined]])),MAX($E$1:E605)+1,0)</f>
        <v>0</v>
      </c>
      <c r="F606" s="1" t="str">
        <f ca="1">IFERROR(INDEX(TagData[],MATCH(ROWS(F$1:$G605),TagData[Search],0),4),"")</f>
        <v/>
      </c>
    </row>
    <row r="607" spans="1:6" x14ac:dyDescent="0.3">
      <c r="A607">
        <v>1511</v>
      </c>
      <c r="B607" s="1" t="s">
        <v>556</v>
      </c>
      <c r="C607" s="1" t="s">
        <v>557</v>
      </c>
      <c r="D607" s="1" t="str">
        <f>+TagData[[#This Row],[TagName]]&amp;"_"&amp;TagData[[#This Row],[Description]]</f>
        <v>JI37187B_Current of reflux Pump P37107</v>
      </c>
      <c r="E607" cm="1">
        <f t="array" aca="1" ref="E607" ca="1">IF(ISNUMBER(SEARCH(INDIRECT(CELL("address")),TagData[[#This Row],[Combined]])),MAX($E$1:E606)+1,0)</f>
        <v>0</v>
      </c>
      <c r="F607" s="1" t="str">
        <f ca="1">IFERROR(INDEX(TagData[],MATCH(ROWS(F$1:$G606),TagData[Search],0),4),"")</f>
        <v/>
      </c>
    </row>
    <row r="608" spans="1:6" x14ac:dyDescent="0.3">
      <c r="A608">
        <v>1517</v>
      </c>
      <c r="B608" s="1" t="s">
        <v>556</v>
      </c>
      <c r="C608" s="1" t="s">
        <v>557</v>
      </c>
      <c r="D608" s="1" t="str">
        <f>+TagData[[#This Row],[TagName]]&amp;"_"&amp;TagData[[#This Row],[Description]]</f>
        <v>JI37187B_Current of reflux Pump P37107</v>
      </c>
      <c r="E608" cm="1">
        <f t="array" aca="1" ref="E608" ca="1">IF(ISNUMBER(SEARCH(INDIRECT(CELL("address")),TagData[[#This Row],[Combined]])),MAX($E$1:E607)+1,0)</f>
        <v>0</v>
      </c>
      <c r="F608" s="1" t="str">
        <f ca="1">IFERROR(INDEX(TagData[],MATCH(ROWS(F$1:$G607),TagData[Search],0),4),"")</f>
        <v/>
      </c>
    </row>
    <row r="609" spans="1:6" x14ac:dyDescent="0.3">
      <c r="A609">
        <v>1516</v>
      </c>
      <c r="B609" s="1" t="s">
        <v>558</v>
      </c>
      <c r="C609" s="1" t="s">
        <v>559</v>
      </c>
      <c r="D609" s="1" t="str">
        <f>+TagData[[#This Row],[TagName]]&amp;"_"&amp;TagData[[#This Row],[Description]]</f>
        <v>JI39526B_Current of TDI Effluent Pump P39526B</v>
      </c>
      <c r="E609" cm="1">
        <f t="array" aca="1" ref="E609" ca="1">IF(ISNUMBER(SEARCH(INDIRECT(CELL("address")),TagData[[#This Row],[Combined]])),MAX($E$1:E608)+1,0)</f>
        <v>0</v>
      </c>
      <c r="F609" s="1" t="str">
        <f ca="1">IFERROR(INDEX(TagData[],MATCH(ROWS(F$1:$G608),TagData[Search],0),4),"")</f>
        <v/>
      </c>
    </row>
    <row r="610" spans="1:6" x14ac:dyDescent="0.3">
      <c r="A610">
        <v>1522</v>
      </c>
      <c r="B610" s="1" t="s">
        <v>558</v>
      </c>
      <c r="C610" s="1" t="s">
        <v>559</v>
      </c>
      <c r="D610" s="1" t="str">
        <f>+TagData[[#This Row],[TagName]]&amp;"_"&amp;TagData[[#This Row],[Description]]</f>
        <v>JI39526B_Current of TDI Effluent Pump P39526B</v>
      </c>
      <c r="E610" cm="1">
        <f t="array" aca="1" ref="E610" ca="1">IF(ISNUMBER(SEARCH(INDIRECT(CELL("address")),TagData[[#This Row],[Combined]])),MAX($E$1:E609)+1,0)</f>
        <v>0</v>
      </c>
      <c r="F610" s="1" t="str">
        <f ca="1">IFERROR(INDEX(TagData[],MATCH(ROWS(F$1:$G609),TagData[Search],0),4),"")</f>
        <v/>
      </c>
    </row>
    <row r="611" spans="1:6" x14ac:dyDescent="0.3">
      <c r="A611">
        <v>1521</v>
      </c>
      <c r="B611" s="1" t="s">
        <v>560</v>
      </c>
      <c r="C611" s="1" t="s">
        <v>561</v>
      </c>
      <c r="D611" s="1" t="str">
        <f>+TagData[[#This Row],[TagName]]&amp;"_"&amp;TagData[[#This Row],[Description]]</f>
        <v>TI35428B_RTD Temp of P35402B</v>
      </c>
      <c r="E611" cm="1">
        <f t="array" aca="1" ref="E611" ca="1">IF(ISNUMBER(SEARCH(INDIRECT(CELL("address")),TagData[[#This Row],[Combined]])),MAX($E$1:E610)+1,0)</f>
        <v>0</v>
      </c>
      <c r="F611" s="1" t="str">
        <f ca="1">IFERROR(INDEX(TagData[],MATCH(ROWS(F$1:$G610),TagData[Search],0),4),"")</f>
        <v/>
      </c>
    </row>
    <row r="612" spans="1:6" x14ac:dyDescent="0.3">
      <c r="A612">
        <v>1527</v>
      </c>
      <c r="B612" s="1" t="s">
        <v>560</v>
      </c>
      <c r="C612" s="1" t="s">
        <v>561</v>
      </c>
      <c r="D612" s="1" t="str">
        <f>+TagData[[#This Row],[TagName]]&amp;"_"&amp;TagData[[#This Row],[Description]]</f>
        <v>TI35428B_RTD Temp of P35402B</v>
      </c>
      <c r="E612" cm="1">
        <f t="array" aca="1" ref="E612" ca="1">IF(ISNUMBER(SEARCH(INDIRECT(CELL("address")),TagData[[#This Row],[Combined]])),MAX($E$1:E611)+1,0)</f>
        <v>0</v>
      </c>
      <c r="F612" s="1" t="str">
        <f ca="1">IFERROR(INDEX(TagData[],MATCH(ROWS(F$1:$G611),TagData[Search],0),4),"")</f>
        <v/>
      </c>
    </row>
    <row r="613" spans="1:6" x14ac:dyDescent="0.3">
      <c r="A613">
        <v>1526</v>
      </c>
      <c r="B613" s="1" t="s">
        <v>562</v>
      </c>
      <c r="C613" s="1" t="s">
        <v>563</v>
      </c>
      <c r="D613" s="1" t="str">
        <f>+TagData[[#This Row],[TagName]]&amp;"_"&amp;TagData[[#This Row],[Description]]</f>
        <v>TI37167B_RTD Temp of P37107B</v>
      </c>
      <c r="E613" cm="1">
        <f t="array" aca="1" ref="E613" ca="1">IF(ISNUMBER(SEARCH(INDIRECT(CELL("address")),TagData[[#This Row],[Combined]])),MAX($E$1:E612)+1,0)</f>
        <v>0</v>
      </c>
      <c r="F613" s="1" t="str">
        <f ca="1">IFERROR(INDEX(TagData[],MATCH(ROWS(F$1:$G612),TagData[Search],0),4),"")</f>
        <v/>
      </c>
    </row>
    <row r="614" spans="1:6" x14ac:dyDescent="0.3">
      <c r="A614">
        <v>1532</v>
      </c>
      <c r="B614" s="1" t="s">
        <v>562</v>
      </c>
      <c r="C614" s="1" t="s">
        <v>563</v>
      </c>
      <c r="D614" s="1" t="str">
        <f>+TagData[[#This Row],[TagName]]&amp;"_"&amp;TagData[[#This Row],[Description]]</f>
        <v>TI37167B_RTD Temp of P37107B</v>
      </c>
      <c r="E614" cm="1">
        <f t="array" aca="1" ref="E614" ca="1">IF(ISNUMBER(SEARCH(INDIRECT(CELL("address")),TagData[[#This Row],[Combined]])),MAX($E$1:E613)+1,0)</f>
        <v>0</v>
      </c>
      <c r="F614" s="1" t="str">
        <f ca="1">IFERROR(INDEX(TagData[],MATCH(ROWS(F$1:$G613),TagData[Search],0),4),"")</f>
        <v/>
      </c>
    </row>
    <row r="615" spans="1:6" x14ac:dyDescent="0.3">
      <c r="A615">
        <v>1531</v>
      </c>
      <c r="B615" s="1" t="s">
        <v>564</v>
      </c>
      <c r="C615" s="1" t="s">
        <v>565</v>
      </c>
      <c r="D615" s="1" t="str">
        <f>+TagData[[#This Row],[TagName]]&amp;"_"&amp;TagData[[#This Row],[Description]]</f>
        <v>VI374001_Viscosity of 72 Section</v>
      </c>
      <c r="E615" cm="1">
        <f t="array" aca="1" ref="E615" ca="1">IF(ISNUMBER(SEARCH(INDIRECT(CELL("address")),TagData[[#This Row],[Combined]])),MAX($E$1:E614)+1,0)</f>
        <v>0</v>
      </c>
      <c r="F615" s="1" t="str">
        <f ca="1">IFERROR(INDEX(TagData[],MATCH(ROWS(F$1:$G614),TagData[Search],0),4),"")</f>
        <v/>
      </c>
    </row>
    <row r="616" spans="1:6" x14ac:dyDescent="0.3">
      <c r="A616">
        <v>1536</v>
      </c>
      <c r="B616" s="1" t="s">
        <v>564</v>
      </c>
      <c r="C616" s="1" t="s">
        <v>565</v>
      </c>
      <c r="D616" s="1" t="str">
        <f>+TagData[[#This Row],[TagName]]&amp;"_"&amp;TagData[[#This Row],[Description]]</f>
        <v>VI374001_Viscosity of 72 Section</v>
      </c>
      <c r="E616" cm="1">
        <f t="array" aca="1" ref="E616" ca="1">IF(ISNUMBER(SEARCH(INDIRECT(CELL("address")),TagData[[#This Row],[Combined]])),MAX($E$1:E615)+1,0)</f>
        <v>0</v>
      </c>
      <c r="F616" s="1" t="str">
        <f ca="1">IFERROR(INDEX(TagData[],MATCH(ROWS(F$1:$G615),TagData[Search],0),4),"")</f>
        <v/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28391-7228-4896-8B0F-65DDCD495F97}">
  <sheetPr codeName="Sheet3"/>
  <dimension ref="A1:B22"/>
  <sheetViews>
    <sheetView workbookViewId="0">
      <selection sqref="A1:B35"/>
    </sheetView>
  </sheetViews>
  <sheetFormatPr defaultRowHeight="14.4" x14ac:dyDescent="0.3"/>
  <cols>
    <col min="1" max="1" width="15.33203125" bestFit="1" customWidth="1"/>
    <col min="2" max="2" width="45.21875" bestFit="1" customWidth="1"/>
    <col min="3" max="3" width="39.44140625" bestFit="1" customWidth="1"/>
  </cols>
  <sheetData>
    <row r="1" spans="1:2" x14ac:dyDescent="0.3">
      <c r="A1" t="s">
        <v>1</v>
      </c>
      <c r="B1" t="s">
        <v>573</v>
      </c>
    </row>
    <row r="2" spans="1:2" x14ac:dyDescent="0.3">
      <c r="A2" s="2">
        <v>44711.3125</v>
      </c>
      <c r="B2">
        <v>554.25701904296875</v>
      </c>
    </row>
    <row r="3" spans="1:2" x14ac:dyDescent="0.3">
      <c r="A3" s="2">
        <v>44711.354166666664</v>
      </c>
      <c r="B3">
        <v>648.84002685546875</v>
      </c>
    </row>
    <row r="4" spans="1:2" x14ac:dyDescent="0.3">
      <c r="A4" s="2">
        <v>44711.395833333336</v>
      </c>
      <c r="B4">
        <v>843.14300537109375</v>
      </c>
    </row>
    <row r="5" spans="1:2" x14ac:dyDescent="0.3">
      <c r="A5" s="2">
        <v>44711.895833333336</v>
      </c>
      <c r="B5">
        <v>5.5060000419616699</v>
      </c>
    </row>
    <row r="6" spans="1:2" x14ac:dyDescent="0.3">
      <c r="A6" s="2">
        <v>44712.0625</v>
      </c>
      <c r="B6">
        <v>127.42400360107422</v>
      </c>
    </row>
    <row r="7" spans="1:2" x14ac:dyDescent="0.3">
      <c r="A7" s="2">
        <v>44712.104166666664</v>
      </c>
      <c r="B7">
        <v>345.489013671875</v>
      </c>
    </row>
    <row r="8" spans="1:2" x14ac:dyDescent="0.3">
      <c r="A8" s="2">
        <v>44712.229166666664</v>
      </c>
      <c r="B8">
        <v>655.01202392578125</v>
      </c>
    </row>
    <row r="9" spans="1:2" x14ac:dyDescent="0.3">
      <c r="A9" s="2">
        <v>44712.479166666664</v>
      </c>
      <c r="B9">
        <v>584.57598876953125</v>
      </c>
    </row>
    <row r="10" spans="1:2" x14ac:dyDescent="0.3">
      <c r="A10" s="2">
        <v>44712.770833333336</v>
      </c>
      <c r="B10">
        <v>782.739990234375</v>
      </c>
    </row>
    <row r="11" spans="1:2" x14ac:dyDescent="0.3">
      <c r="A11" s="2">
        <v>44712.9375</v>
      </c>
      <c r="B11">
        <v>860.60601806640625</v>
      </c>
    </row>
    <row r="12" spans="1:2" x14ac:dyDescent="0.3">
      <c r="A12" s="2">
        <v>44713.0625</v>
      </c>
      <c r="B12">
        <v>779.3499755859375</v>
      </c>
    </row>
    <row r="13" spans="1:2" x14ac:dyDescent="0.3">
      <c r="A13" s="2">
        <v>44713.229166666664</v>
      </c>
      <c r="B13">
        <v>559.38702392578125</v>
      </c>
    </row>
    <row r="14" spans="1:2" x14ac:dyDescent="0.3">
      <c r="A14" s="2">
        <v>44713.270833333336</v>
      </c>
      <c r="B14">
        <v>94.052001953125</v>
      </c>
    </row>
    <row r="15" spans="1:2" x14ac:dyDescent="0.3">
      <c r="A15" s="2">
        <v>44713.4375</v>
      </c>
      <c r="B15">
        <v>77.299003601074219</v>
      </c>
    </row>
    <row r="16" spans="1:2" x14ac:dyDescent="0.3">
      <c r="A16" s="2">
        <v>44713.520833333336</v>
      </c>
      <c r="B16">
        <v>489.27801513671875</v>
      </c>
    </row>
    <row r="17" spans="1:2" x14ac:dyDescent="0.3">
      <c r="A17" s="2">
        <v>44713.729166666664</v>
      </c>
      <c r="B17">
        <v>903.3709716796875</v>
      </c>
    </row>
    <row r="18" spans="1:2" x14ac:dyDescent="0.3">
      <c r="A18" s="2">
        <v>44714.145833333336</v>
      </c>
      <c r="B18">
        <v>844.718017578125</v>
      </c>
    </row>
    <row r="19" spans="1:2" x14ac:dyDescent="0.3">
      <c r="A19" s="2">
        <v>44714.270833333336</v>
      </c>
      <c r="B19">
        <v>520.84600830078125</v>
      </c>
    </row>
    <row r="20" spans="1:2" x14ac:dyDescent="0.3">
      <c r="A20" s="2">
        <v>44714.4375</v>
      </c>
      <c r="B20">
        <v>438.50100708007813</v>
      </c>
    </row>
    <row r="21" spans="1:2" x14ac:dyDescent="0.3">
      <c r="A21" s="2">
        <v>44714.6875</v>
      </c>
      <c r="B21">
        <v>110.03800201416016</v>
      </c>
    </row>
    <row r="22" spans="1:2" x14ac:dyDescent="0.3">
      <c r="A22" s="2">
        <v>44715.0625</v>
      </c>
      <c r="B22">
        <v>871.4849853515625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143C9A-5D8A-4630-9F65-1C9C6A1A5D6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HourlyData</vt:lpstr>
      <vt:lpstr>TagData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226158316011 SWETHA PATHAK</dc:creator>
  <cp:lastModifiedBy>226158316011 SWETHA PATHAK</cp:lastModifiedBy>
  <dcterms:created xsi:type="dcterms:W3CDTF">2024-10-06T15:57:04Z</dcterms:created>
  <dcterms:modified xsi:type="dcterms:W3CDTF">2024-10-06T19:54:54Z</dcterms:modified>
</cp:coreProperties>
</file>